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Financeiro\Finaceiro contratos\2025\"/>
    </mc:Choice>
  </mc:AlternateContent>
  <xr:revisionPtr revIDLastSave="0" documentId="13_ncr:1_{EA9DC45B-E0FA-44B9-9ABE-3686D0C23752}" xr6:coauthVersionLast="36" xr6:coauthVersionMax="36" xr10:uidLastSave="{00000000-0000-0000-0000-000000000000}"/>
  <bookViews>
    <workbookView xWindow="0" yWindow="0" windowWidth="24000" windowHeight="9405" tabRatio="745" xr2:uid="{D86079DA-8EA6-4208-B7F1-2A083071BC85}"/>
  </bookViews>
  <sheets>
    <sheet name="financeiro l" sheetId="2" r:id="rId1"/>
    <sheet name="datas ocupação och " sheetId="8" r:id="rId2"/>
    <sheet name="financeiro a " sheetId="3" r:id="rId3"/>
    <sheet name="datas ocupaçao l.a " sheetId="7" r:id="rId4"/>
    <sheet name="ATA X RESUMO" sheetId="9" r:id="rId5"/>
  </sheets>
  <definedNames>
    <definedName name="_xlnm._FilterDatabase" localSheetId="2" hidden="1">'financeiro a '!$B$1:$BG$1</definedName>
    <definedName name="_xlnm._FilterDatabase" localSheetId="0" hidden="1">'financeiro l'!$B$1:$CG$1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1" i="8" l="1"/>
  <c r="M74" i="8"/>
  <c r="B72" i="8"/>
  <c r="B79" i="7"/>
  <c r="E81" i="7"/>
  <c r="F81" i="7"/>
  <c r="C81" i="7"/>
  <c r="G79" i="7"/>
  <c r="E79" i="7"/>
  <c r="P72" i="7"/>
  <c r="N72" i="7"/>
  <c r="J72" i="7"/>
  <c r="N79" i="7"/>
  <c r="I72" i="7"/>
  <c r="B72" i="7"/>
  <c r="Q67" i="7"/>
  <c r="F79" i="7"/>
  <c r="J65" i="7"/>
  <c r="C65" i="7"/>
  <c r="L53" i="7"/>
  <c r="B67" i="7"/>
  <c r="P53" i="7"/>
  <c r="M58" i="7"/>
  <c r="I53" i="7"/>
  <c r="F51" i="7"/>
  <c r="G58" i="7"/>
  <c r="F58" i="7"/>
  <c r="K53" i="7"/>
  <c r="J53" i="7"/>
  <c r="N51" i="7"/>
  <c r="J51" i="7"/>
  <c r="I51" i="7"/>
  <c r="H51" i="7"/>
  <c r="C51" i="7"/>
  <c r="B51" i="7"/>
  <c r="L46" i="7"/>
  <c r="K46" i="7"/>
  <c r="E46" i="7"/>
  <c r="N44" i="7"/>
  <c r="K44" i="7"/>
  <c r="I44" i="7"/>
  <c r="N39" i="7"/>
  <c r="M39" i="7"/>
  <c r="L39" i="7"/>
  <c r="C39" i="7"/>
  <c r="O37" i="7"/>
  <c r="L37" i="7"/>
  <c r="H37" i="7"/>
  <c r="G37" i="7"/>
  <c r="H32" i="7"/>
  <c r="B30" i="7"/>
  <c r="L25" i="7"/>
  <c r="J25" i="7"/>
  <c r="I25" i="7"/>
  <c r="F23" i="7"/>
  <c r="C23" i="7"/>
  <c r="O18" i="7"/>
  <c r="E18" i="7"/>
  <c r="P16" i="7"/>
  <c r="O16" i="7"/>
  <c r="I16" i="7"/>
  <c r="H16" i="7"/>
  <c r="K11" i="7"/>
  <c r="H11" i="7"/>
  <c r="D11" i="7"/>
  <c r="P9" i="7"/>
  <c r="N9" i="7"/>
  <c r="I9" i="7"/>
  <c r="B9" i="7"/>
  <c r="O4" i="7"/>
  <c r="K4" i="7"/>
  <c r="I4" i="7"/>
  <c r="D4" i="7"/>
  <c r="N2" i="7"/>
  <c r="AT121" i="3" l="1"/>
  <c r="AS120" i="3"/>
  <c r="AS117" i="3"/>
  <c r="AT112" i="3"/>
  <c r="AQ111" i="3"/>
  <c r="AT107" i="3"/>
  <c r="AV106" i="3"/>
  <c r="AT100" i="3"/>
  <c r="AT99" i="3"/>
  <c r="AV95" i="3"/>
  <c r="AQ92" i="3"/>
  <c r="AV92" i="3"/>
  <c r="AV91" i="3"/>
  <c r="AV88" i="3"/>
  <c r="AV87" i="3"/>
  <c r="AV84" i="3"/>
  <c r="AV79" i="3"/>
  <c r="AV78" i="3"/>
  <c r="AV76" i="3"/>
  <c r="AQ31" i="3"/>
  <c r="AV31" i="3"/>
  <c r="AV19" i="3"/>
  <c r="AV15" i="3"/>
  <c r="AV12" i="3"/>
  <c r="AV10" i="3"/>
  <c r="AW7" i="3"/>
  <c r="AV72" i="3" l="1"/>
  <c r="AV69" i="3"/>
  <c r="AT41" i="3"/>
  <c r="AV34" i="3"/>
  <c r="AV6" i="3"/>
  <c r="Z50" i="2" l="1"/>
  <c r="BB50" i="2"/>
  <c r="U50" i="2"/>
  <c r="BA68" i="2"/>
  <c r="BB68" i="2"/>
  <c r="W68" i="2"/>
  <c r="Y68" i="2"/>
  <c r="AJ68" i="2"/>
  <c r="AD68" i="2"/>
  <c r="BB71" i="2" l="1"/>
  <c r="BC71" i="2" s="1"/>
  <c r="BB75" i="2"/>
  <c r="AJ71" i="2"/>
  <c r="AK71" i="2" s="1"/>
  <c r="AL71" i="2" s="1"/>
  <c r="AJ75" i="2"/>
  <c r="AK75" i="2" s="1"/>
  <c r="AL75" i="2" s="1"/>
  <c r="AB71" i="2"/>
  <c r="AC71" i="2" s="1"/>
  <c r="AB75" i="2"/>
  <c r="AC75" i="2" s="1"/>
  <c r="AB76" i="2"/>
  <c r="AC76" i="2" s="1"/>
  <c r="AB77" i="2"/>
  <c r="AC77" i="2"/>
  <c r="AB78" i="2"/>
  <c r="AC78" i="2" s="1"/>
  <c r="N71" i="2"/>
  <c r="R121" i="3"/>
  <c r="S121" i="3"/>
  <c r="T121" i="3" s="1"/>
  <c r="R122" i="3"/>
  <c r="S122" i="3"/>
  <c r="T122" i="3" s="1"/>
  <c r="R123" i="3"/>
  <c r="S123" i="3"/>
  <c r="T123" i="3" s="1"/>
  <c r="R124" i="3"/>
  <c r="S124" i="3"/>
  <c r="T124" i="3"/>
  <c r="R125" i="3"/>
  <c r="S125" i="3"/>
  <c r="T125" i="3" s="1"/>
  <c r="R126" i="3"/>
  <c r="S126" i="3"/>
  <c r="T126" i="3"/>
  <c r="R127" i="3"/>
  <c r="S127" i="3"/>
  <c r="T127" i="3" s="1"/>
  <c r="R128" i="3"/>
  <c r="S128" i="3"/>
  <c r="T128" i="3"/>
  <c r="R129" i="3"/>
  <c r="S129" i="3"/>
  <c r="T129" i="3" s="1"/>
  <c r="R130" i="3"/>
  <c r="S130" i="3"/>
  <c r="T130" i="3"/>
  <c r="AG121" i="3"/>
  <c r="AG122" i="3"/>
  <c r="AG123" i="3"/>
  <c r="AG124" i="3"/>
  <c r="AM124" i="3" s="1"/>
  <c r="AG125" i="3"/>
  <c r="AG126" i="3"/>
  <c r="AG127" i="3"/>
  <c r="AG128" i="3"/>
  <c r="AG129" i="3"/>
  <c r="AL121" i="3"/>
  <c r="AL122" i="3"/>
  <c r="AL123" i="3"/>
  <c r="AL124" i="3"/>
  <c r="AL125" i="3"/>
  <c r="AL126" i="3"/>
  <c r="AL127" i="3"/>
  <c r="AL128" i="3"/>
  <c r="AL129" i="3"/>
  <c r="AK122" i="3"/>
  <c r="AM122" i="3"/>
  <c r="AK123" i="3"/>
  <c r="AM123" i="3"/>
  <c r="AK124" i="3"/>
  <c r="AK125" i="3"/>
  <c r="AM125" i="3"/>
  <c r="AK126" i="3"/>
  <c r="AM126" i="3"/>
  <c r="AN126" i="3" s="1"/>
  <c r="AK127" i="3"/>
  <c r="AM127" i="3"/>
  <c r="AK128" i="3"/>
  <c r="AK129" i="3"/>
  <c r="AM129" i="3"/>
  <c r="BB57" i="2"/>
  <c r="BB58" i="2"/>
  <c r="BB60" i="2"/>
  <c r="AK116" i="3"/>
  <c r="AM71" i="2" l="1"/>
  <c r="AM75" i="2"/>
  <c r="BC75" i="2"/>
  <c r="BD75" i="2" s="1"/>
  <c r="BD71" i="2"/>
  <c r="AN127" i="3"/>
  <c r="AN125" i="3"/>
  <c r="AN124" i="3"/>
  <c r="AN123" i="3"/>
  <c r="AN129" i="3"/>
  <c r="AN122" i="3"/>
  <c r="AM128" i="3"/>
  <c r="AN128" i="3" s="1"/>
  <c r="AL120" i="3"/>
  <c r="AK120" i="3"/>
  <c r="AK121" i="3"/>
  <c r="AK111" i="3"/>
  <c r="BB69" i="2" l="1"/>
  <c r="BA64" i="2"/>
  <c r="AU70" i="2"/>
  <c r="AV70" i="2"/>
  <c r="BB70" i="2"/>
  <c r="AJ70" i="2"/>
  <c r="AM90" i="3" l="1"/>
  <c r="AK90" i="3"/>
  <c r="X55" i="2"/>
  <c r="D79" i="8" l="1"/>
  <c r="Y67" i="2"/>
  <c r="AW67" i="2"/>
  <c r="AU67" i="2"/>
  <c r="AO67" i="2"/>
  <c r="AD67" i="2"/>
  <c r="W67" i="2"/>
  <c r="N67" i="2"/>
  <c r="K67" i="2"/>
  <c r="R119" i="3" l="1"/>
  <c r="S119" i="3"/>
  <c r="T119" i="3"/>
  <c r="R120" i="3"/>
  <c r="S120" i="3"/>
  <c r="T120" i="3" s="1"/>
  <c r="AM119" i="3"/>
  <c r="AN119" i="3" s="1"/>
  <c r="AM120" i="3"/>
  <c r="AM121" i="3"/>
  <c r="AN121" i="3" s="1"/>
  <c r="AG119" i="3"/>
  <c r="AG110" i="3"/>
  <c r="AG111" i="3"/>
  <c r="AG112" i="3"/>
  <c r="AG113" i="3"/>
  <c r="AG114" i="3"/>
  <c r="AG115" i="3"/>
  <c r="AG116" i="3"/>
  <c r="AG117" i="3"/>
  <c r="AG118" i="3"/>
  <c r="AG120" i="3"/>
  <c r="AK119" i="3"/>
  <c r="AL119" i="3" s="1"/>
  <c r="C79" i="7"/>
  <c r="AX65" i="2"/>
  <c r="AX68" i="2"/>
  <c r="AX69" i="2"/>
  <c r="AX70" i="2"/>
  <c r="AX72" i="2"/>
  <c r="AX73" i="2"/>
  <c r="AX74" i="2"/>
  <c r="AX57" i="2"/>
  <c r="AX58" i="2"/>
  <c r="AX60" i="2"/>
  <c r="AX59" i="2"/>
  <c r="AX61" i="2"/>
  <c r="AX63" i="2"/>
  <c r="AX66" i="2"/>
  <c r="AX67" i="2"/>
  <c r="AX71" i="2"/>
  <c r="BE71" i="2" s="1"/>
  <c r="AX75" i="2"/>
  <c r="BE75" i="2" s="1"/>
  <c r="AX76" i="2"/>
  <c r="AX77" i="2"/>
  <c r="AX64" i="2"/>
  <c r="AJ66" i="2"/>
  <c r="AK66" i="2" s="1"/>
  <c r="AL66" i="2" s="1"/>
  <c r="AM66" i="2" s="1"/>
  <c r="AJ67" i="2"/>
  <c r="AK67" i="2" s="1"/>
  <c r="AL67" i="2" s="1"/>
  <c r="K66" i="2"/>
  <c r="AB66" i="2"/>
  <c r="AC66" i="2" s="1"/>
  <c r="AB67" i="2"/>
  <c r="AC67" i="2" s="1"/>
  <c r="N66" i="2"/>
  <c r="AN120" i="3" l="1"/>
  <c r="AM67" i="2"/>
  <c r="AK106" i="3"/>
  <c r="V106" i="3"/>
  <c r="AU62" i="2" l="1"/>
  <c r="AX62" i="2"/>
  <c r="BB56" i="2"/>
  <c r="BB62" i="2"/>
  <c r="BA44" i="2"/>
  <c r="BB43" i="2"/>
  <c r="BB44" i="2"/>
  <c r="BB45" i="2"/>
  <c r="BB46" i="2"/>
  <c r="W44" i="2"/>
  <c r="AJ42" i="2"/>
  <c r="AJ43" i="2"/>
  <c r="AJ44" i="2"/>
  <c r="AJ45" i="2"/>
  <c r="AJ46" i="2"/>
  <c r="BB63" i="2"/>
  <c r="BF63" i="2"/>
  <c r="BB66" i="2"/>
  <c r="BC66" i="2" s="1"/>
  <c r="BE66" i="2" s="1"/>
  <c r="BF66" i="2"/>
  <c r="BB67" i="2"/>
  <c r="BC67" i="2" s="1"/>
  <c r="BD67" i="2" s="1"/>
  <c r="BF67" i="2"/>
  <c r="AA63" i="2"/>
  <c r="AJ61" i="2"/>
  <c r="AK61" i="2" s="1"/>
  <c r="AL61" i="2" s="1"/>
  <c r="AJ63" i="2"/>
  <c r="AK63" i="2" s="1"/>
  <c r="AL63" i="2" s="1"/>
  <c r="AD63" i="2"/>
  <c r="N63" i="2"/>
  <c r="BB64" i="2"/>
  <c r="AU64" i="2"/>
  <c r="BC63" i="2" l="1"/>
  <c r="BD66" i="2"/>
  <c r="BE67" i="2"/>
  <c r="BF61" i="2"/>
  <c r="O61" i="2"/>
  <c r="BF59" i="2"/>
  <c r="O59" i="2"/>
  <c r="N59" i="2"/>
  <c r="BF60" i="2" l="1"/>
  <c r="AO56" i="2" l="1"/>
  <c r="K56" i="2"/>
  <c r="R102" i="3" l="1"/>
  <c r="AK102" i="3"/>
  <c r="R116" i="3" l="1"/>
  <c r="S116" i="3"/>
  <c r="T116" i="3" s="1"/>
  <c r="R117" i="3"/>
  <c r="S117" i="3"/>
  <c r="T117" i="3" s="1"/>
  <c r="R118" i="3"/>
  <c r="S118" i="3"/>
  <c r="T118" i="3" s="1"/>
  <c r="AK115" i="3"/>
  <c r="AL115" i="3" s="1"/>
  <c r="AM115" i="3" s="1"/>
  <c r="AN115" i="3" s="1"/>
  <c r="AL116" i="3"/>
  <c r="AM116" i="3" s="1"/>
  <c r="AK117" i="3"/>
  <c r="AL117" i="3" s="1"/>
  <c r="AM117" i="3" s="1"/>
  <c r="AK118" i="3"/>
  <c r="AL118" i="3" s="1"/>
  <c r="AM118" i="3" s="1"/>
  <c r="R114" i="3"/>
  <c r="S114" i="3"/>
  <c r="T114" i="3"/>
  <c r="R115" i="3"/>
  <c r="S115" i="3"/>
  <c r="T115" i="3"/>
  <c r="BF58" i="2"/>
  <c r="AN116" i="3" l="1"/>
  <c r="AN117" i="3"/>
  <c r="AN118" i="3"/>
  <c r="V111" i="3"/>
  <c r="AG109" i="3" l="1"/>
  <c r="AI74" i="2" l="1"/>
  <c r="AK109" i="3" l="1"/>
  <c r="AL109" i="3" s="1"/>
  <c r="AM109" i="3" s="1"/>
  <c r="AK110" i="3"/>
  <c r="AL110" i="3" s="1"/>
  <c r="AM110" i="3" s="1"/>
  <c r="AL111" i="3"/>
  <c r="AM111" i="3" s="1"/>
  <c r="AK112" i="3"/>
  <c r="AL112" i="3" s="1"/>
  <c r="AM112" i="3" s="1"/>
  <c r="AN112" i="3" s="1"/>
  <c r="AK113" i="3"/>
  <c r="AL113" i="3" s="1"/>
  <c r="AM113" i="3" s="1"/>
  <c r="AK114" i="3"/>
  <c r="AL114" i="3" s="1"/>
  <c r="AM114" i="3" s="1"/>
  <c r="AN114" i="3" s="1"/>
  <c r="T112" i="3"/>
  <c r="R108" i="3"/>
  <c r="R109" i="3"/>
  <c r="R110" i="3"/>
  <c r="R111" i="3"/>
  <c r="R112" i="3"/>
  <c r="R113" i="3"/>
  <c r="S108" i="3"/>
  <c r="T108" i="3" s="1"/>
  <c r="S109" i="3"/>
  <c r="T109" i="3" s="1"/>
  <c r="S110" i="3"/>
  <c r="T110" i="3" s="1"/>
  <c r="S111" i="3"/>
  <c r="T111" i="3" s="1"/>
  <c r="S112" i="3"/>
  <c r="S113" i="3"/>
  <c r="T113" i="3" s="1"/>
  <c r="AN113" i="3" l="1"/>
  <c r="AN111" i="3"/>
  <c r="AN110" i="3"/>
  <c r="AN109" i="3"/>
  <c r="K67" i="7"/>
  <c r="X106" i="3"/>
  <c r="BB53" i="2" l="1"/>
  <c r="AU53" i="2"/>
  <c r="AX53" i="2"/>
  <c r="Y53" i="2"/>
  <c r="AJ53" i="2"/>
  <c r="AJ54" i="2"/>
  <c r="E72" i="8" l="1"/>
  <c r="BA55" i="2"/>
  <c r="AJ55" i="2"/>
  <c r="AJ74" i="2"/>
  <c r="N55" i="2"/>
  <c r="K55" i="2"/>
  <c r="BB55" i="2" l="1"/>
  <c r="BB74" i="2"/>
  <c r="BC74" i="2" s="1"/>
  <c r="BB59" i="2"/>
  <c r="BB61" i="2"/>
  <c r="BC61" i="2" s="1"/>
  <c r="BB52" i="2"/>
  <c r="AK74" i="2"/>
  <c r="AL74" i="2" s="1"/>
  <c r="AJ52" i="2"/>
  <c r="AK52" i="2" s="1"/>
  <c r="AL52" i="2" s="1"/>
  <c r="BC55" i="2"/>
  <c r="AJ57" i="2"/>
  <c r="AJ58" i="2"/>
  <c r="AK58" i="2" s="1"/>
  <c r="AL58" i="2" s="1"/>
  <c r="AJ60" i="2"/>
  <c r="BC60" i="2" s="1"/>
  <c r="AJ59" i="2"/>
  <c r="BC59" i="2" s="1"/>
  <c r="AB52" i="2"/>
  <c r="AC52" i="2" s="1"/>
  <c r="AB55" i="2"/>
  <c r="AB74" i="2"/>
  <c r="AC74" i="2" s="1"/>
  <c r="AB57" i="2"/>
  <c r="AC57" i="2" s="1"/>
  <c r="AB58" i="2"/>
  <c r="AC58" i="2" s="1"/>
  <c r="AB60" i="2"/>
  <c r="AC60" i="2" s="1"/>
  <c r="AB59" i="2"/>
  <c r="AC59" i="2" s="1"/>
  <c r="AB61" i="2"/>
  <c r="AC61" i="2" s="1"/>
  <c r="AM61" i="2" s="1"/>
  <c r="AB63" i="2"/>
  <c r="AC63" i="2" l="1"/>
  <c r="BE63" i="2" s="1"/>
  <c r="BD63" i="2"/>
  <c r="BC57" i="2"/>
  <c r="BE57" i="2" s="1"/>
  <c r="BC52" i="2"/>
  <c r="BE52" i="2" s="1"/>
  <c r="BE61" i="2"/>
  <c r="AK57" i="2"/>
  <c r="AL57" i="2" s="1"/>
  <c r="BD57" i="2"/>
  <c r="BE59" i="2"/>
  <c r="BD59" i="2"/>
  <c r="BE60" i="2"/>
  <c r="BD60" i="2"/>
  <c r="AM52" i="2"/>
  <c r="AM58" i="2"/>
  <c r="AM57" i="2"/>
  <c r="BE74" i="2"/>
  <c r="AK59" i="2"/>
  <c r="AL59" i="2" s="1"/>
  <c r="AM59" i="2" s="1"/>
  <c r="AM74" i="2"/>
  <c r="AK60" i="2"/>
  <c r="AL60" i="2" s="1"/>
  <c r="AM60" i="2" s="1"/>
  <c r="BC58" i="2"/>
  <c r="BD58" i="2" s="1"/>
  <c r="BD61" i="2"/>
  <c r="BD74" i="2"/>
  <c r="BD55" i="2"/>
  <c r="AK55" i="2"/>
  <c r="AL55" i="2" s="1"/>
  <c r="AC55" i="2"/>
  <c r="BE55" i="2" s="1"/>
  <c r="BD52" i="2" l="1"/>
  <c r="AM63" i="2"/>
  <c r="BE58" i="2"/>
  <c r="AM55" i="2"/>
  <c r="B112" i="8"/>
  <c r="K51" i="2" l="1"/>
  <c r="N51" i="2"/>
  <c r="AK105" i="3" l="1"/>
  <c r="AL105" i="3" s="1"/>
  <c r="AM105" i="3" s="1"/>
  <c r="AL106" i="3"/>
  <c r="AM106" i="3" s="1"/>
  <c r="AK107" i="3"/>
  <c r="AL107" i="3" s="1"/>
  <c r="AK108" i="3"/>
  <c r="AL108" i="3" s="1"/>
  <c r="AM108" i="3" s="1"/>
  <c r="AN108" i="3" s="1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R103" i="3"/>
  <c r="R104" i="3"/>
  <c r="R105" i="3"/>
  <c r="R106" i="3"/>
  <c r="R107" i="3"/>
  <c r="T103" i="3"/>
  <c r="S103" i="3"/>
  <c r="S104" i="3"/>
  <c r="T104" i="3" s="1"/>
  <c r="S105" i="3"/>
  <c r="T105" i="3" s="1"/>
  <c r="S106" i="3"/>
  <c r="T106" i="3" s="1"/>
  <c r="S107" i="3"/>
  <c r="T107" i="3" s="1"/>
  <c r="AM107" i="3" l="1"/>
  <c r="AN107" i="3" s="1"/>
  <c r="AN106" i="3"/>
  <c r="AN105" i="3"/>
  <c r="AA87" i="3"/>
  <c r="AK87" i="3"/>
  <c r="X64" i="3" l="1"/>
  <c r="V64" i="3"/>
  <c r="AG64" i="3"/>
  <c r="AK64" i="3"/>
  <c r="AG65" i="3"/>
  <c r="R64" i="3"/>
  <c r="AK78" i="3" l="1"/>
  <c r="AJ78" i="3"/>
  <c r="AK53" i="2" l="1"/>
  <c r="AL53" i="2" s="1"/>
  <c r="AO53" i="2"/>
  <c r="AB53" i="2"/>
  <c r="AC53" i="2" s="1"/>
  <c r="AM53" i="2" l="1"/>
  <c r="BC53" i="2"/>
  <c r="BE53" i="2" s="1"/>
  <c r="BD53" i="2"/>
  <c r="X102" i="3"/>
  <c r="T96" i="3"/>
  <c r="T97" i="3"/>
  <c r="T98" i="3"/>
  <c r="T99" i="3"/>
  <c r="T100" i="3"/>
  <c r="T101" i="3"/>
  <c r="T102" i="3"/>
  <c r="BB48" i="2" l="1"/>
  <c r="AB48" i="2"/>
  <c r="AJ47" i="2"/>
  <c r="D53" i="8" l="1"/>
  <c r="BB42" i="2"/>
  <c r="N42" i="2"/>
  <c r="BC42" i="2" l="1"/>
  <c r="AB42" i="2"/>
  <c r="AC42" i="2" s="1"/>
  <c r="AK83" i="3"/>
  <c r="X83" i="3"/>
  <c r="BE42" i="2" l="1"/>
  <c r="BD42" i="2"/>
  <c r="AK42" i="2"/>
  <c r="AL42" i="2" s="1"/>
  <c r="AM42" i="2" s="1"/>
  <c r="X100" i="3"/>
  <c r="O32" i="7" l="1"/>
  <c r="I32" i="7"/>
  <c r="F32" i="7"/>
  <c r="E32" i="7"/>
  <c r="M23" i="7"/>
  <c r="H18" i="7"/>
  <c r="N4" i="7"/>
  <c r="AA45" i="2" l="1"/>
  <c r="K46" i="8" l="1"/>
  <c r="AU35" i="2"/>
  <c r="AI35" i="2"/>
  <c r="AX35" i="2"/>
  <c r="AO35" i="2"/>
  <c r="AD35" i="2"/>
  <c r="AP35" i="2"/>
  <c r="N35" i="2"/>
  <c r="C6" i="9" l="1"/>
  <c r="F5" i="9" l="1"/>
  <c r="F6" i="9"/>
  <c r="B6" i="9"/>
  <c r="F4" i="9" l="1"/>
  <c r="X97" i="3" l="1"/>
  <c r="AL99" i="3"/>
  <c r="AM99" i="3" s="1"/>
  <c r="AN99" i="3" s="1"/>
  <c r="AL102" i="3"/>
  <c r="AM102" i="3" s="1"/>
  <c r="AN102" i="3" s="1"/>
  <c r="AK98" i="3"/>
  <c r="AL98" i="3" s="1"/>
  <c r="AM98" i="3" s="1"/>
  <c r="AN98" i="3" s="1"/>
  <c r="AK99" i="3"/>
  <c r="AK100" i="3"/>
  <c r="AL100" i="3" s="1"/>
  <c r="AM100" i="3" s="1"/>
  <c r="AN100" i="3" s="1"/>
  <c r="AK101" i="3"/>
  <c r="AL101" i="3" s="1"/>
  <c r="AM101" i="3" s="1"/>
  <c r="AN101" i="3" s="1"/>
  <c r="AK103" i="3"/>
  <c r="AL103" i="3" s="1"/>
  <c r="AM103" i="3" s="1"/>
  <c r="AK104" i="3"/>
  <c r="AL104" i="3" s="1"/>
  <c r="AM104" i="3" s="1"/>
  <c r="AN104" i="3" s="1"/>
  <c r="S97" i="3"/>
  <c r="S98" i="3"/>
  <c r="S99" i="3"/>
  <c r="S100" i="3"/>
  <c r="S101" i="3"/>
  <c r="S102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99" i="3"/>
  <c r="R100" i="3"/>
  <c r="R101" i="3"/>
  <c r="AL96" i="3"/>
  <c r="AM96" i="3" s="1"/>
  <c r="AK92" i="3"/>
  <c r="AK93" i="3"/>
  <c r="AK94" i="3"/>
  <c r="AK95" i="3"/>
  <c r="AK96" i="3"/>
  <c r="AK97" i="3"/>
  <c r="AL97" i="3" s="1"/>
  <c r="AM97" i="3" s="1"/>
  <c r="AN97" i="3" s="1"/>
  <c r="AN103" i="3" l="1"/>
  <c r="BF49" i="2"/>
  <c r="BF51" i="2"/>
  <c r="BF52" i="2"/>
  <c r="BF55" i="2"/>
  <c r="BF74" i="2"/>
  <c r="BF57" i="2"/>
  <c r="BJ32" i="2"/>
  <c r="AT73" i="3"/>
  <c r="AQ72" i="3"/>
  <c r="AQ70" i="3"/>
  <c r="AQ69" i="3"/>
  <c r="AQ68" i="3"/>
  <c r="AQ62" i="3"/>
  <c r="AT61" i="3"/>
  <c r="AS60" i="3"/>
  <c r="AT58" i="3"/>
  <c r="AT48" i="3"/>
  <c r="AQ46" i="3"/>
  <c r="AU43" i="3"/>
  <c r="AT38" i="3"/>
  <c r="AU35" i="3"/>
  <c r="AQ34" i="3"/>
  <c r="AT33" i="3"/>
  <c r="AQ25" i="3"/>
  <c r="AU24" i="3"/>
  <c r="AT23" i="3"/>
  <c r="AQ22" i="3"/>
  <c r="AQ21" i="3"/>
  <c r="AQ20" i="3"/>
  <c r="AU16" i="3"/>
  <c r="AQ15" i="3"/>
  <c r="AT13" i="3"/>
  <c r="AT10" i="3"/>
  <c r="AQ9" i="3"/>
  <c r="AT6" i="3"/>
  <c r="BJ48" i="2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1" i="2"/>
  <c r="BO22" i="2"/>
  <c r="BO23" i="2"/>
  <c r="BO24" i="2"/>
  <c r="BO25" i="2"/>
  <c r="BO26" i="2"/>
  <c r="BO27" i="2"/>
  <c r="BO29" i="2"/>
  <c r="BO31" i="2"/>
  <c r="BO32" i="2"/>
  <c r="BO33" i="2"/>
  <c r="BO34" i="2"/>
  <c r="BO35" i="2"/>
  <c r="BO36" i="2"/>
  <c r="BO38" i="2"/>
  <c r="BO39" i="2"/>
  <c r="BO40" i="2"/>
  <c r="BO41" i="2"/>
  <c r="BO43" i="2"/>
  <c r="BO44" i="2"/>
  <c r="BO45" i="2"/>
  <c r="BO48" i="2"/>
  <c r="BO53" i="2"/>
  <c r="BO54" i="2"/>
  <c r="BO56" i="2"/>
  <c r="BO62" i="2"/>
  <c r="BO64" i="2"/>
  <c r="BO65" i="2"/>
  <c r="BO68" i="2"/>
  <c r="BO69" i="2"/>
  <c r="BO70" i="2"/>
  <c r="BO72" i="2"/>
  <c r="BO73" i="2"/>
  <c r="BO46" i="2"/>
  <c r="BO49" i="2"/>
  <c r="BO51" i="2"/>
  <c r="BO52" i="2"/>
  <c r="BO55" i="2"/>
  <c r="BO74" i="2"/>
  <c r="BO57" i="2"/>
  <c r="BO58" i="2"/>
  <c r="BO60" i="2"/>
  <c r="D102" i="8"/>
  <c r="B90" i="8"/>
  <c r="D87" i="8"/>
  <c r="A83" i="8"/>
  <c r="F79" i="8"/>
  <c r="A76" i="8"/>
  <c r="C100" i="8" s="1"/>
  <c r="D100" i="8" s="1"/>
  <c r="O74" i="8"/>
  <c r="A69" i="8"/>
  <c r="A62" i="8"/>
  <c r="C98" i="8" s="1"/>
  <c r="D98" i="8" s="1"/>
  <c r="L60" i="8"/>
  <c r="H60" i="8"/>
  <c r="P53" i="8"/>
  <c r="N53" i="8"/>
  <c r="I51" i="8"/>
  <c r="E51" i="8"/>
  <c r="A55" i="8" s="1"/>
  <c r="C51" i="8"/>
  <c r="A48" i="8"/>
  <c r="M44" i="8"/>
  <c r="F44" i="8"/>
  <c r="A41" i="8"/>
  <c r="C39" i="8"/>
  <c r="M37" i="8"/>
  <c r="Q32" i="8"/>
  <c r="K30" i="8"/>
  <c r="D30" i="8"/>
  <c r="A34" i="8" s="1"/>
  <c r="K25" i="8"/>
  <c r="A27" i="8" s="1"/>
  <c r="B21" i="8"/>
  <c r="A20" i="8"/>
  <c r="C92" i="8" s="1"/>
  <c r="D92" i="8" s="1"/>
  <c r="N18" i="8"/>
  <c r="H18" i="8"/>
  <c r="G13" i="8"/>
  <c r="A13" i="8"/>
  <c r="C97" i="8" s="1"/>
  <c r="D97" i="8" s="1"/>
  <c r="A6" i="8"/>
  <c r="C90" i="8" s="1"/>
  <c r="D90" i="8" s="1"/>
  <c r="D102" i="7"/>
  <c r="B90" i="7"/>
  <c r="D87" i="7"/>
  <c r="A83" i="7"/>
  <c r="A76" i="7"/>
  <c r="C100" i="7" s="1"/>
  <c r="D100" i="7" s="1"/>
  <c r="A69" i="7"/>
  <c r="C99" i="7" s="1"/>
  <c r="D99" i="7" s="1"/>
  <c r="A62" i="7"/>
  <c r="C98" i="7" s="1"/>
  <c r="D98" i="7" s="1"/>
  <c r="A55" i="7"/>
  <c r="C46" i="7"/>
  <c r="A48" i="7"/>
  <c r="A41" i="7"/>
  <c r="A34" i="7"/>
  <c r="C32" i="7"/>
  <c r="A27" i="7"/>
  <c r="A20" i="7"/>
  <c r="A13" i="7"/>
  <c r="A6" i="7"/>
  <c r="BG3" i="3"/>
  <c r="AY2" i="3"/>
  <c r="BB14" i="2"/>
  <c r="BB15" i="2"/>
  <c r="BB16" i="2"/>
  <c r="BB17" i="2"/>
  <c r="BB18" i="2"/>
  <c r="BB19" i="2"/>
  <c r="BB21" i="2"/>
  <c r="BC21" i="2" s="1"/>
  <c r="BB22" i="2"/>
  <c r="BB23" i="2"/>
  <c r="BB24" i="2"/>
  <c r="BB25" i="2"/>
  <c r="BB26" i="2"/>
  <c r="BB27" i="2"/>
  <c r="BB29" i="2"/>
  <c r="BB31" i="2"/>
  <c r="BB32" i="2"/>
  <c r="BB33" i="2"/>
  <c r="BB34" i="2"/>
  <c r="BB35" i="2"/>
  <c r="BB36" i="2"/>
  <c r="BB38" i="2"/>
  <c r="BB39" i="2"/>
  <c r="BB40" i="2"/>
  <c r="BB41" i="2"/>
  <c r="BB54" i="2"/>
  <c r="BB65" i="2"/>
  <c r="BB72" i="2"/>
  <c r="BB73" i="2"/>
  <c r="BB49" i="2"/>
  <c r="BB51" i="2"/>
  <c r="BB4" i="2"/>
  <c r="BB5" i="2"/>
  <c r="BB6" i="2"/>
  <c r="BB7" i="2"/>
  <c r="BB8" i="2"/>
  <c r="BB9" i="2"/>
  <c r="BB10" i="2"/>
  <c r="BB11" i="2"/>
  <c r="BB12" i="2"/>
  <c r="BB13" i="2"/>
  <c r="CG3" i="2"/>
  <c r="CG5" i="2"/>
  <c r="CG9" i="2"/>
  <c r="CG11" i="2"/>
  <c r="CG12" i="2"/>
  <c r="CG13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3" i="2"/>
  <c r="CG44" i="2"/>
  <c r="CG45" i="2"/>
  <c r="CG47" i="2"/>
  <c r="CG48" i="2"/>
  <c r="CG50" i="2"/>
  <c r="CG53" i="2"/>
  <c r="CG54" i="2"/>
  <c r="CG56" i="2"/>
  <c r="CG62" i="2"/>
  <c r="CG64" i="2"/>
  <c r="CG65" i="2"/>
  <c r="CG68" i="2"/>
  <c r="CG69" i="2"/>
  <c r="CG70" i="2"/>
  <c r="CG72" i="2"/>
  <c r="CG73" i="2"/>
  <c r="CG46" i="2"/>
  <c r="CG49" i="2"/>
  <c r="CG51" i="2"/>
  <c r="CG52" i="2"/>
  <c r="CG55" i="2"/>
  <c r="CG74" i="2"/>
  <c r="CG57" i="2"/>
  <c r="CG58" i="2"/>
  <c r="CG60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H39" i="2" s="1"/>
  <c r="BF40" i="2"/>
  <c r="BF41" i="2"/>
  <c r="BF43" i="2"/>
  <c r="BF44" i="2"/>
  <c r="BF45" i="2"/>
  <c r="BF47" i="2"/>
  <c r="BF48" i="2"/>
  <c r="BF50" i="2"/>
  <c r="BF54" i="2"/>
  <c r="BF56" i="2"/>
  <c r="BF62" i="2"/>
  <c r="BF64" i="2"/>
  <c r="BF65" i="2"/>
  <c r="BF68" i="2"/>
  <c r="BF69" i="2"/>
  <c r="BF70" i="2"/>
  <c r="BF72" i="2"/>
  <c r="BF73" i="2"/>
  <c r="BF46" i="2"/>
  <c r="BF21" i="2"/>
  <c r="BF22" i="2"/>
  <c r="BF23" i="2"/>
  <c r="BF24" i="2"/>
  <c r="BF25" i="2"/>
  <c r="BF26" i="2"/>
  <c r="BT15" i="2"/>
  <c r="CG15" i="2" s="1"/>
  <c r="BT14" i="2"/>
  <c r="CG14" i="2" s="1"/>
  <c r="BT10" i="2"/>
  <c r="CG10" i="2" s="1"/>
  <c r="BT8" i="2"/>
  <c r="CG8" i="2" s="1"/>
  <c r="BT7" i="2"/>
  <c r="CG7" i="2" s="1"/>
  <c r="CA6" i="2"/>
  <c r="BT6" i="2"/>
  <c r="CG6" i="2" s="1"/>
  <c r="BT4" i="2"/>
  <c r="CG4" i="2" s="1"/>
  <c r="BT2" i="2"/>
  <c r="CG2" i="2" s="1"/>
  <c r="BF3" i="2"/>
  <c r="G76" i="7" l="1"/>
  <c r="G69" i="7"/>
  <c r="G62" i="7"/>
  <c r="G27" i="8"/>
  <c r="H27" i="8" s="1"/>
  <c r="C93" i="8"/>
  <c r="D93" i="8" s="1"/>
  <c r="C94" i="8"/>
  <c r="D94" i="8" s="1"/>
  <c r="G34" i="8"/>
  <c r="H34" i="8"/>
  <c r="G69" i="8"/>
  <c r="C99" i="8"/>
  <c r="D99" i="8" s="1"/>
  <c r="A87" i="8"/>
  <c r="H41" i="8"/>
  <c r="C96" i="8"/>
  <c r="D96" i="8" s="1"/>
  <c r="G55" i="8"/>
  <c r="G6" i="8"/>
  <c r="H6" i="8" s="1"/>
  <c r="H13" i="8"/>
  <c r="G20" i="8"/>
  <c r="H20" i="8" s="1"/>
  <c r="G41" i="8"/>
  <c r="G48" i="8"/>
  <c r="H48" i="8" s="1"/>
  <c r="G62" i="8"/>
  <c r="G76" i="8"/>
  <c r="G83" i="8"/>
  <c r="C91" i="8"/>
  <c r="D91" i="8" s="1"/>
  <c r="C95" i="8"/>
  <c r="D95" i="8" s="1"/>
  <c r="C101" i="8"/>
  <c r="D101" i="8" s="1"/>
  <c r="G13" i="7"/>
  <c r="C97" i="7"/>
  <c r="D97" i="7" s="1"/>
  <c r="C91" i="7"/>
  <c r="D91" i="7" s="1"/>
  <c r="H13" i="7"/>
  <c r="A87" i="7"/>
  <c r="C96" i="7"/>
  <c r="D96" i="7" s="1"/>
  <c r="G55" i="7"/>
  <c r="C90" i="7"/>
  <c r="D90" i="7" s="1"/>
  <c r="G6" i="7"/>
  <c r="H6" i="7" s="1"/>
  <c r="G27" i="7"/>
  <c r="H27" i="7"/>
  <c r="C93" i="7"/>
  <c r="D93" i="7" s="1"/>
  <c r="C92" i="7"/>
  <c r="D92" i="7" s="1"/>
  <c r="G20" i="7"/>
  <c r="H20" i="7" s="1"/>
  <c r="C94" i="7"/>
  <c r="D94" i="7" s="1"/>
  <c r="G34" i="7"/>
  <c r="H34" i="7" s="1"/>
  <c r="G41" i="7"/>
  <c r="H41" i="7" s="1"/>
  <c r="C95" i="7"/>
  <c r="D95" i="7" s="1"/>
  <c r="G48" i="7"/>
  <c r="H48" i="7" s="1"/>
  <c r="G83" i="7"/>
  <c r="C101" i="7"/>
  <c r="D101" i="7" s="1"/>
  <c r="G87" i="8" l="1"/>
  <c r="H87" i="8" s="1"/>
  <c r="G87" i="7"/>
  <c r="H87" i="7" s="1"/>
  <c r="P95" i="3" l="1"/>
  <c r="AC95" i="3"/>
  <c r="AI37" i="2" l="1"/>
  <c r="AX56" i="2"/>
  <c r="AK85" i="3" l="1"/>
  <c r="AK84" i="3"/>
  <c r="AK80" i="3"/>
  <c r="AK71" i="3"/>
  <c r="AK21" i="3"/>
  <c r="AK24" i="3"/>
  <c r="AK25" i="3"/>
  <c r="AK26" i="3"/>
  <c r="AK27" i="3"/>
  <c r="AK28" i="3"/>
  <c r="AK29" i="3"/>
  <c r="AK30" i="3"/>
  <c r="AK31" i="3"/>
  <c r="AK32" i="3"/>
  <c r="AK34" i="3"/>
  <c r="AK35" i="3"/>
  <c r="AK36" i="3"/>
  <c r="AK37" i="3"/>
  <c r="AK39" i="3"/>
  <c r="AK40" i="3"/>
  <c r="AK41" i="3"/>
  <c r="AK42" i="3"/>
  <c r="AK43" i="3"/>
  <c r="AK44" i="3"/>
  <c r="AK45" i="3"/>
  <c r="AK46" i="3"/>
  <c r="AK47" i="3"/>
  <c r="AK49" i="3"/>
  <c r="AK48" i="3"/>
  <c r="AK50" i="3"/>
  <c r="AK51" i="3"/>
  <c r="AK52" i="3"/>
  <c r="AK53" i="3"/>
  <c r="AK54" i="3"/>
  <c r="AK55" i="3"/>
  <c r="AK56" i="3"/>
  <c r="AK57" i="3"/>
  <c r="AK59" i="3"/>
  <c r="AK58" i="3"/>
  <c r="AK60" i="3"/>
  <c r="AK62" i="3"/>
  <c r="AK61" i="3"/>
  <c r="AK63" i="3"/>
  <c r="AK65" i="3"/>
  <c r="AK66" i="3"/>
  <c r="AK67" i="3"/>
  <c r="AK68" i="3"/>
  <c r="AK70" i="3"/>
  <c r="AK72" i="3"/>
  <c r="AK73" i="3"/>
  <c r="AK74" i="3"/>
  <c r="AK75" i="3"/>
  <c r="AK76" i="3"/>
  <c r="AK77" i="3"/>
  <c r="AK79" i="3"/>
  <c r="AK82" i="3"/>
  <c r="AK81" i="3"/>
  <c r="AK86" i="3"/>
  <c r="AK88" i="3"/>
  <c r="AK91" i="3"/>
  <c r="AK89" i="3"/>
  <c r="AK3" i="3"/>
  <c r="AK4" i="3"/>
  <c r="AK5" i="3"/>
  <c r="AK6" i="3"/>
  <c r="AK8" i="3"/>
  <c r="AK9" i="3"/>
  <c r="AK10" i="3"/>
  <c r="AK11" i="3"/>
  <c r="AK12" i="3"/>
  <c r="AK13" i="3"/>
  <c r="AK14" i="3"/>
  <c r="AK17" i="3"/>
  <c r="AK16" i="3"/>
  <c r="AK18" i="3"/>
  <c r="AK19" i="3"/>
  <c r="AK20" i="3"/>
  <c r="AK22" i="3"/>
  <c r="AK23" i="3"/>
  <c r="S53" i="3" l="1"/>
  <c r="T53" i="3" s="1"/>
  <c r="AG70" i="3"/>
  <c r="AK2" i="3"/>
  <c r="R15" i="3" l="1"/>
  <c r="AG38" i="3"/>
  <c r="S96" i="3"/>
  <c r="AN96" i="3" s="1"/>
  <c r="AL95" i="3"/>
  <c r="S95" i="3"/>
  <c r="T95" i="3" s="1"/>
  <c r="AL89" i="3"/>
  <c r="AG89" i="3"/>
  <c r="AL94" i="3"/>
  <c r="S94" i="3"/>
  <c r="T94" i="3" s="1"/>
  <c r="AL93" i="3"/>
  <c r="AG93" i="3"/>
  <c r="S93" i="3"/>
  <c r="T93" i="3" s="1"/>
  <c r="AL91" i="3"/>
  <c r="AG91" i="3"/>
  <c r="S91" i="3"/>
  <c r="T91" i="3" s="1"/>
  <c r="AO90" i="3"/>
  <c r="AL90" i="3"/>
  <c r="S90" i="3"/>
  <c r="T90" i="3" s="1"/>
  <c r="AL88" i="3"/>
  <c r="AG88" i="3"/>
  <c r="S88" i="3"/>
  <c r="T88" i="3" s="1"/>
  <c r="AL87" i="3"/>
  <c r="AG87" i="3"/>
  <c r="X87" i="3"/>
  <c r="S87" i="3"/>
  <c r="T87" i="3" s="1"/>
  <c r="AL85" i="3"/>
  <c r="AG85" i="3"/>
  <c r="S85" i="3"/>
  <c r="T85" i="3" s="1"/>
  <c r="AL86" i="3"/>
  <c r="AG86" i="3"/>
  <c r="S86" i="3"/>
  <c r="T86" i="3" s="1"/>
  <c r="AG84" i="3"/>
  <c r="U84" i="3"/>
  <c r="AL83" i="3"/>
  <c r="AG83" i="3"/>
  <c r="S83" i="3"/>
  <c r="T83" i="3" s="1"/>
  <c r="AL81" i="3"/>
  <c r="AG81" i="3"/>
  <c r="S81" i="3"/>
  <c r="T81" i="3" s="1"/>
  <c r="AL82" i="3"/>
  <c r="AG82" i="3"/>
  <c r="X82" i="3"/>
  <c r="S82" i="3"/>
  <c r="T82" i="3" s="1"/>
  <c r="AL80" i="3"/>
  <c r="AG80" i="3"/>
  <c r="S80" i="3"/>
  <c r="T80" i="3" s="1"/>
  <c r="AL79" i="3"/>
  <c r="AG79" i="3"/>
  <c r="AC79" i="3"/>
  <c r="S79" i="3"/>
  <c r="T79" i="3" s="1"/>
  <c r="AL78" i="3"/>
  <c r="AG78" i="3"/>
  <c r="S78" i="3"/>
  <c r="T78" i="3" s="1"/>
  <c r="AL77" i="3"/>
  <c r="AG77" i="3"/>
  <c r="S77" i="3"/>
  <c r="T77" i="3" s="1"/>
  <c r="AG76" i="3"/>
  <c r="X76" i="3"/>
  <c r="U76" i="3"/>
  <c r="AL76" i="3" s="1"/>
  <c r="AL75" i="3"/>
  <c r="AG75" i="3"/>
  <c r="S75" i="3"/>
  <c r="T75" i="3" s="1"/>
  <c r="AL74" i="3"/>
  <c r="AG74" i="3"/>
  <c r="S74" i="3"/>
  <c r="T74" i="3" s="1"/>
  <c r="AL73" i="3"/>
  <c r="AG73" i="3"/>
  <c r="S73" i="3"/>
  <c r="T73" i="3" s="1"/>
  <c r="AO72" i="3"/>
  <c r="AL72" i="3"/>
  <c r="AG72" i="3"/>
  <c r="S72" i="3"/>
  <c r="T72" i="3" s="1"/>
  <c r="AL71" i="3"/>
  <c r="AG71" i="3"/>
  <c r="S71" i="3"/>
  <c r="T71" i="3" s="1"/>
  <c r="AL70" i="3"/>
  <c r="AM70" i="3" s="1"/>
  <c r="S70" i="3"/>
  <c r="T70" i="3" s="1"/>
  <c r="AO69" i="3"/>
  <c r="AG69" i="3"/>
  <c r="Y69" i="3"/>
  <c r="V69" i="3"/>
  <c r="S69" i="3"/>
  <c r="T69" i="3" s="1"/>
  <c r="AL68" i="3"/>
  <c r="AG68" i="3"/>
  <c r="S68" i="3"/>
  <c r="T68" i="3" s="1"/>
  <c r="AL67" i="3"/>
  <c r="AG67" i="3"/>
  <c r="S67" i="3"/>
  <c r="T67" i="3" s="1"/>
  <c r="AL66" i="3"/>
  <c r="AG66" i="3"/>
  <c r="S66" i="3"/>
  <c r="T66" i="3" s="1"/>
  <c r="AL65" i="3"/>
  <c r="X65" i="3"/>
  <c r="S65" i="3"/>
  <c r="T65" i="3" s="1"/>
  <c r="S64" i="3"/>
  <c r="T64" i="3" s="1"/>
  <c r="AL63" i="3"/>
  <c r="AG63" i="3"/>
  <c r="S63" i="3"/>
  <c r="T63" i="3" s="1"/>
  <c r="AL61" i="3"/>
  <c r="AG61" i="3"/>
  <c r="S61" i="3"/>
  <c r="T61" i="3" s="1"/>
  <c r="AL62" i="3"/>
  <c r="AG62" i="3"/>
  <c r="S62" i="3"/>
  <c r="T62" i="3" s="1"/>
  <c r="AL60" i="3"/>
  <c r="AG60" i="3"/>
  <c r="S60" i="3"/>
  <c r="T60" i="3" s="1"/>
  <c r="AL58" i="3"/>
  <c r="AG58" i="3"/>
  <c r="X58" i="3"/>
  <c r="S58" i="3"/>
  <c r="T58" i="3" s="1"/>
  <c r="AL59" i="3"/>
  <c r="AG59" i="3"/>
  <c r="S59" i="3"/>
  <c r="T59" i="3" s="1"/>
  <c r="AL57" i="3"/>
  <c r="AG57" i="3"/>
  <c r="X57" i="3"/>
  <c r="S57" i="3"/>
  <c r="T57" i="3" s="1"/>
  <c r="AL56" i="3"/>
  <c r="AG56" i="3"/>
  <c r="X56" i="3"/>
  <c r="P56" i="3"/>
  <c r="K56" i="3"/>
  <c r="S56" i="3" s="1"/>
  <c r="T56" i="3" s="1"/>
  <c r="AO55" i="3"/>
  <c r="AL55" i="3"/>
  <c r="AJ55" i="3"/>
  <c r="AG55" i="3"/>
  <c r="S55" i="3"/>
  <c r="T55" i="3" s="1"/>
  <c r="AO54" i="3"/>
  <c r="AL54" i="3"/>
  <c r="AJ54" i="3"/>
  <c r="AG54" i="3"/>
  <c r="S54" i="3"/>
  <c r="P54" i="3"/>
  <c r="AO53" i="3"/>
  <c r="AL53" i="3"/>
  <c r="AG53" i="3"/>
  <c r="AO52" i="3"/>
  <c r="AL52" i="3"/>
  <c r="AJ52" i="3"/>
  <c r="AG52" i="3"/>
  <c r="X52" i="3"/>
  <c r="S52" i="3"/>
  <c r="T52" i="3" s="1"/>
  <c r="AO51" i="3"/>
  <c r="AL51" i="3"/>
  <c r="AG51" i="3"/>
  <c r="S51" i="3"/>
  <c r="T51" i="3" s="1"/>
  <c r="AO50" i="3"/>
  <c r="AL50" i="3"/>
  <c r="AJ50" i="3"/>
  <c r="AG50" i="3"/>
  <c r="X50" i="3"/>
  <c r="S50" i="3"/>
  <c r="T50" i="3" s="1"/>
  <c r="AO48" i="3"/>
  <c r="AL48" i="3"/>
  <c r="AG48" i="3"/>
  <c r="S48" i="3"/>
  <c r="T48" i="3" s="1"/>
  <c r="AO49" i="3"/>
  <c r="AL49" i="3"/>
  <c r="AG49" i="3"/>
  <c r="S49" i="3"/>
  <c r="T49" i="3" s="1"/>
  <c r="AO47" i="3"/>
  <c r="AL47" i="3"/>
  <c r="AG47" i="3"/>
  <c r="S47" i="3"/>
  <c r="T47" i="3" s="1"/>
  <c r="AO46" i="3"/>
  <c r="AL46" i="3"/>
  <c r="AG46" i="3"/>
  <c r="S46" i="3"/>
  <c r="T46" i="3" s="1"/>
  <c r="AO45" i="3"/>
  <c r="AL45" i="3"/>
  <c r="AG45" i="3"/>
  <c r="S45" i="3"/>
  <c r="T45" i="3" s="1"/>
  <c r="AO44" i="3"/>
  <c r="AL44" i="3"/>
  <c r="AJ44" i="3"/>
  <c r="AG44" i="3"/>
  <c r="X44" i="3"/>
  <c r="S44" i="3"/>
  <c r="T44" i="3" s="1"/>
  <c r="AO43" i="3"/>
  <c r="AL43" i="3"/>
  <c r="AG43" i="3"/>
  <c r="S43" i="3"/>
  <c r="T43" i="3" s="1"/>
  <c r="AG42" i="3"/>
  <c r="S42" i="3"/>
  <c r="T42" i="3" s="1"/>
  <c r="AE41" i="3"/>
  <c r="U41" i="3"/>
  <c r="S41" i="3" s="1"/>
  <c r="T41" i="3" s="1"/>
  <c r="AO40" i="3"/>
  <c r="AL40" i="3"/>
  <c r="AM40" i="3" s="1"/>
  <c r="S40" i="3"/>
  <c r="T40" i="3" s="1"/>
  <c r="AO39" i="3"/>
  <c r="AL39" i="3"/>
  <c r="AM39" i="3" s="1"/>
  <c r="S39" i="3"/>
  <c r="T39" i="3" s="1"/>
  <c r="AO38" i="3"/>
  <c r="V38" i="3"/>
  <c r="AK38" i="3" s="1"/>
  <c r="AL38" i="3" s="1"/>
  <c r="AM38" i="3" s="1"/>
  <c r="S38" i="3"/>
  <c r="T38" i="3" s="1"/>
  <c r="AO37" i="3"/>
  <c r="AL37" i="3"/>
  <c r="X37" i="3"/>
  <c r="S37" i="3"/>
  <c r="T37" i="3" s="1"/>
  <c r="AO36" i="3"/>
  <c r="AL36" i="3"/>
  <c r="AM36" i="3" s="1"/>
  <c r="S36" i="3"/>
  <c r="T36" i="3" s="1"/>
  <c r="AO35" i="3"/>
  <c r="AL35" i="3"/>
  <c r="AM35" i="3" s="1"/>
  <c r="S35" i="3"/>
  <c r="T35" i="3" s="1"/>
  <c r="AO34" i="3"/>
  <c r="AL34" i="3"/>
  <c r="X34" i="3"/>
  <c r="S34" i="3"/>
  <c r="T34" i="3" s="1"/>
  <c r="AO33" i="3"/>
  <c r="AG33" i="3"/>
  <c r="V33" i="3"/>
  <c r="AK33" i="3" s="1"/>
  <c r="AL33" i="3" s="1"/>
  <c r="AM33" i="3" s="1"/>
  <c r="S33" i="3"/>
  <c r="T33" i="3" s="1"/>
  <c r="AO32" i="3"/>
  <c r="AL32" i="3"/>
  <c r="AM32" i="3" s="1"/>
  <c r="S32" i="3"/>
  <c r="T32" i="3" s="1"/>
  <c r="AO31" i="3"/>
  <c r="AL31" i="3"/>
  <c r="AJ31" i="3"/>
  <c r="S31" i="3"/>
  <c r="T31" i="3" s="1"/>
  <c r="AO30" i="3"/>
  <c r="AL30" i="3"/>
  <c r="AM30" i="3" s="1"/>
  <c r="S30" i="3"/>
  <c r="T30" i="3" s="1"/>
  <c r="AO29" i="3"/>
  <c r="AL29" i="3"/>
  <c r="AM29" i="3" s="1"/>
  <c r="AN29" i="3" s="1"/>
  <c r="S29" i="3"/>
  <c r="AO28" i="3"/>
  <c r="AL28" i="3"/>
  <c r="AM28" i="3" s="1"/>
  <c r="S28" i="3"/>
  <c r="T28" i="3" s="1"/>
  <c r="AO27" i="3"/>
  <c r="AL27" i="3"/>
  <c r="AM27" i="3" s="1"/>
  <c r="S27" i="3"/>
  <c r="T27" i="3" s="1"/>
  <c r="AO26" i="3"/>
  <c r="AL26" i="3"/>
  <c r="AM26" i="3" s="1"/>
  <c r="S26" i="3"/>
  <c r="T26" i="3" s="1"/>
  <c r="AO25" i="3"/>
  <c r="AL25" i="3"/>
  <c r="AM25" i="3" s="1"/>
  <c r="S25" i="3"/>
  <c r="T25" i="3" s="1"/>
  <c r="AO24" i="3"/>
  <c r="AL24" i="3"/>
  <c r="AM24" i="3" s="1"/>
  <c r="S24" i="3"/>
  <c r="T24" i="3" s="1"/>
  <c r="AO21" i="3"/>
  <c r="AL21" i="3"/>
  <c r="AM21" i="3" s="1"/>
  <c r="S21" i="3"/>
  <c r="T21" i="3" s="1"/>
  <c r="AO23" i="3"/>
  <c r="AL23" i="3"/>
  <c r="AM23" i="3" s="1"/>
  <c r="S23" i="3"/>
  <c r="T23" i="3" s="1"/>
  <c r="AO22" i="3"/>
  <c r="AL22" i="3"/>
  <c r="AM22" i="3" s="1"/>
  <c r="S22" i="3"/>
  <c r="T22" i="3" s="1"/>
  <c r="AO20" i="3"/>
  <c r="AL20" i="3"/>
  <c r="AM20" i="3" s="1"/>
  <c r="S20" i="3"/>
  <c r="T20" i="3" s="1"/>
  <c r="AO19" i="3"/>
  <c r="AL19" i="3"/>
  <c r="AM19" i="3" s="1"/>
  <c r="S19" i="3"/>
  <c r="T19" i="3" s="1"/>
  <c r="AO18" i="3"/>
  <c r="AL18" i="3"/>
  <c r="AM18" i="3" s="1"/>
  <c r="S18" i="3"/>
  <c r="T18" i="3" s="1"/>
  <c r="AO16" i="3"/>
  <c r="AL16" i="3"/>
  <c r="AM16" i="3" s="1"/>
  <c r="S16" i="3"/>
  <c r="T16" i="3" s="1"/>
  <c r="AO17" i="3"/>
  <c r="AL17" i="3"/>
  <c r="X17" i="3"/>
  <c r="S17" i="3"/>
  <c r="T17" i="3" s="1"/>
  <c r="AO15" i="3"/>
  <c r="AF15" i="3"/>
  <c r="AG15" i="3" s="1"/>
  <c r="V15" i="3"/>
  <c r="S15" i="3"/>
  <c r="T15" i="3" s="1"/>
  <c r="AO14" i="3"/>
  <c r="AL14" i="3"/>
  <c r="AM14" i="3" s="1"/>
  <c r="S14" i="3"/>
  <c r="T14" i="3" s="1"/>
  <c r="AO13" i="3"/>
  <c r="AL13" i="3"/>
  <c r="AM13" i="3" s="1"/>
  <c r="S13" i="3"/>
  <c r="T13" i="3" s="1"/>
  <c r="AO12" i="3"/>
  <c r="AL12" i="3"/>
  <c r="AM12" i="3" s="1"/>
  <c r="S12" i="3"/>
  <c r="T12" i="3" s="1"/>
  <c r="X11" i="3"/>
  <c r="U11" i="3"/>
  <c r="AO11" i="3" s="1"/>
  <c r="AO10" i="3"/>
  <c r="AL10" i="3"/>
  <c r="AM10" i="3" s="1"/>
  <c r="S10" i="3"/>
  <c r="T10" i="3" s="1"/>
  <c r="AO9" i="3"/>
  <c r="AL9" i="3"/>
  <c r="AG9" i="3"/>
  <c r="K9" i="3"/>
  <c r="S9" i="3" s="1"/>
  <c r="T9" i="3" s="1"/>
  <c r="AO8" i="3"/>
  <c r="AL8" i="3"/>
  <c r="X8" i="3"/>
  <c r="K8" i="3"/>
  <c r="S8" i="3" s="1"/>
  <c r="T8" i="3" s="1"/>
  <c r="AO7" i="3"/>
  <c r="V7" i="3"/>
  <c r="S7" i="3"/>
  <c r="T7" i="3" s="1"/>
  <c r="AO6" i="3"/>
  <c r="AL6" i="3"/>
  <c r="AM6" i="3" s="1"/>
  <c r="S6" i="3"/>
  <c r="T6" i="3" s="1"/>
  <c r="AO5" i="3"/>
  <c r="AL5" i="3"/>
  <c r="X5" i="3"/>
  <c r="S5" i="3"/>
  <c r="T5" i="3" s="1"/>
  <c r="AO4" i="3"/>
  <c r="AL4" i="3"/>
  <c r="AM4" i="3" s="1"/>
  <c r="S4" i="3"/>
  <c r="T4" i="3" s="1"/>
  <c r="AO3" i="3"/>
  <c r="AL3" i="3"/>
  <c r="AM3" i="3" s="1"/>
  <c r="S3" i="3"/>
  <c r="T3" i="3" s="1"/>
  <c r="AO2" i="3"/>
  <c r="AL2" i="3"/>
  <c r="AM2" i="3" s="1"/>
  <c r="S2" i="3"/>
  <c r="T2" i="3" s="1"/>
  <c r="AM86" i="3" l="1"/>
  <c r="AM5" i="3"/>
  <c r="AN19" i="3"/>
  <c r="AM72" i="3"/>
  <c r="AM76" i="3"/>
  <c r="AM91" i="3"/>
  <c r="AN91" i="3" s="1"/>
  <c r="AM93" i="3"/>
  <c r="AN93" i="3" s="1"/>
  <c r="AQ93" i="3" s="1"/>
  <c r="AN20" i="3"/>
  <c r="AN22" i="3"/>
  <c r="AN24" i="3"/>
  <c r="AK7" i="3"/>
  <c r="AL7" i="3" s="1"/>
  <c r="AM7" i="3" s="1"/>
  <c r="AN7" i="3" s="1"/>
  <c r="AL11" i="3"/>
  <c r="AM11" i="3" s="1"/>
  <c r="AM17" i="3"/>
  <c r="AN17" i="3" s="1"/>
  <c r="AM37" i="3"/>
  <c r="AN37" i="3" s="1"/>
  <c r="AM58" i="3"/>
  <c r="AN58" i="3" s="1"/>
  <c r="AM60" i="3"/>
  <c r="AM62" i="3"/>
  <c r="AN62" i="3" s="1"/>
  <c r="AM61" i="3"/>
  <c r="AN61" i="3" s="1"/>
  <c r="AM82" i="3"/>
  <c r="AN82" i="3" s="1"/>
  <c r="AT82" i="3" s="1"/>
  <c r="AM81" i="3"/>
  <c r="AN81" i="3" s="1"/>
  <c r="AM85" i="3"/>
  <c r="AN85" i="3" s="1"/>
  <c r="AM54" i="3"/>
  <c r="S76" i="3"/>
  <c r="T76" i="3" s="1"/>
  <c r="AN76" i="3" s="1"/>
  <c r="AL64" i="3"/>
  <c r="AM8" i="3"/>
  <c r="AN8" i="3" s="1"/>
  <c r="AM9" i="3"/>
  <c r="AN9" i="3" s="1"/>
  <c r="AK15" i="3"/>
  <c r="AL15" i="3" s="1"/>
  <c r="AM15" i="3" s="1"/>
  <c r="AN15" i="3" s="1"/>
  <c r="AN25" i="3"/>
  <c r="AN39" i="3"/>
  <c r="AN40" i="3"/>
  <c r="AM46" i="3"/>
  <c r="AN46" i="3" s="1"/>
  <c r="AM53" i="3"/>
  <c r="AN53" i="3" s="1"/>
  <c r="T54" i="3"/>
  <c r="AM87" i="3"/>
  <c r="AN87" i="3" s="1"/>
  <c r="AM88" i="3"/>
  <c r="AN88" i="3" s="1"/>
  <c r="AQ88" i="3" s="1"/>
  <c r="AN33" i="3"/>
  <c r="AM57" i="3"/>
  <c r="AN57" i="3" s="1"/>
  <c r="AM94" i="3"/>
  <c r="AN94" i="3" s="1"/>
  <c r="AM89" i="3"/>
  <c r="AN89" i="3" s="1"/>
  <c r="AM95" i="3"/>
  <c r="AN95" i="3" s="1"/>
  <c r="AQ95" i="3" s="1"/>
  <c r="AN2" i="3"/>
  <c r="AN3" i="3"/>
  <c r="AN16" i="3"/>
  <c r="AN26" i="3"/>
  <c r="AN27" i="3"/>
  <c r="AN28" i="3"/>
  <c r="AM47" i="3"/>
  <c r="AN47" i="3" s="1"/>
  <c r="AM52" i="3"/>
  <c r="AN52" i="3" s="1"/>
  <c r="AK69" i="3"/>
  <c r="AL69" i="3" s="1"/>
  <c r="AM69" i="3" s="1"/>
  <c r="AN69" i="3" s="1"/>
  <c r="AM73" i="3"/>
  <c r="AN73" i="3" s="1"/>
  <c r="AM74" i="3"/>
  <c r="AN74" i="3" s="1"/>
  <c r="AM75" i="3"/>
  <c r="AM83" i="3"/>
  <c r="AN83" i="3" s="1"/>
  <c r="AT83" i="3" s="1"/>
  <c r="AN18" i="3"/>
  <c r="AN30" i="3"/>
  <c r="AM44" i="3"/>
  <c r="AN44" i="3" s="1"/>
  <c r="AM50" i="3"/>
  <c r="AN50" i="3" s="1"/>
  <c r="AN72" i="3"/>
  <c r="AN86" i="3"/>
  <c r="AU86" i="3" s="1"/>
  <c r="AN6" i="3"/>
  <c r="AN10" i="3"/>
  <c r="AN13" i="3"/>
  <c r="AN14" i="3"/>
  <c r="AN23" i="3"/>
  <c r="AN21" i="3"/>
  <c r="AN35" i="3"/>
  <c r="AM43" i="3"/>
  <c r="AN43" i="3" s="1"/>
  <c r="AM45" i="3"/>
  <c r="AN45" i="3" s="1"/>
  <c r="AM48" i="3"/>
  <c r="AN48" i="3" s="1"/>
  <c r="AM51" i="3"/>
  <c r="AN51" i="3" s="1"/>
  <c r="AM59" i="3"/>
  <c r="AN59" i="3" s="1"/>
  <c r="AM65" i="3"/>
  <c r="AN65" i="3" s="1"/>
  <c r="AM66" i="3"/>
  <c r="AN66" i="3" s="1"/>
  <c r="AQ66" i="3" s="1"/>
  <c r="AM67" i="3"/>
  <c r="AN67" i="3" s="1"/>
  <c r="AM68" i="3"/>
  <c r="AN68" i="3" s="1"/>
  <c r="AM79" i="3"/>
  <c r="AN79" i="3" s="1"/>
  <c r="AM80" i="3"/>
  <c r="AN80" i="3" s="1"/>
  <c r="AQ80" i="3" s="1"/>
  <c r="AN90" i="3"/>
  <c r="AT90" i="3" s="1"/>
  <c r="AM71" i="3"/>
  <c r="AN71" i="3" s="1"/>
  <c r="AM55" i="3"/>
  <c r="AN55" i="3" s="1"/>
  <c r="AM56" i="3"/>
  <c r="AN56" i="3" s="1"/>
  <c r="AN70" i="3"/>
  <c r="AM31" i="3"/>
  <c r="AN31" i="3" s="1"/>
  <c r="AN32" i="3"/>
  <c r="AN36" i="3"/>
  <c r="AN4" i="3"/>
  <c r="AN5" i="3"/>
  <c r="AN12" i="3"/>
  <c r="AN75" i="3"/>
  <c r="AT75" i="3" s="1"/>
  <c r="AO41" i="3"/>
  <c r="AG41" i="3"/>
  <c r="AM41" i="3" s="1"/>
  <c r="AM34" i="3"/>
  <c r="AN34" i="3" s="1"/>
  <c r="AM77" i="3"/>
  <c r="AN77" i="3" s="1"/>
  <c r="AL84" i="3"/>
  <c r="AM84" i="3" s="1"/>
  <c r="S84" i="3"/>
  <c r="T84" i="3" s="1"/>
  <c r="S11" i="3"/>
  <c r="T11" i="3" s="1"/>
  <c r="AN38" i="3"/>
  <c r="AL41" i="3"/>
  <c r="AN60" i="3"/>
  <c r="AJ11" i="2"/>
  <c r="AK11" i="2" s="1"/>
  <c r="AL11" i="2" s="1"/>
  <c r="AJ13" i="2"/>
  <c r="AJ14" i="2"/>
  <c r="AK14" i="2" s="1"/>
  <c r="AL14" i="2" s="1"/>
  <c r="AJ15" i="2"/>
  <c r="BC15" i="2" s="1"/>
  <c r="AJ6" i="2"/>
  <c r="AK6" i="2" s="1"/>
  <c r="AL6" i="2" s="1"/>
  <c r="U19" i="2"/>
  <c r="AJ3" i="2"/>
  <c r="AJ4" i="2"/>
  <c r="AO3" i="2"/>
  <c r="AB19" i="2"/>
  <c r="AC19" i="2" s="1"/>
  <c r="AX14" i="2"/>
  <c r="AB14" i="2"/>
  <c r="AC14" i="2" s="1"/>
  <c r="AB15" i="2"/>
  <c r="AB16" i="2"/>
  <c r="AB18" i="2"/>
  <c r="AC18" i="2" s="1"/>
  <c r="AB21" i="2"/>
  <c r="BD21" i="2" s="1"/>
  <c r="AB22" i="2"/>
  <c r="AB23" i="2"/>
  <c r="AB24" i="2"/>
  <c r="AC24" i="2" s="1"/>
  <c r="AB25" i="2"/>
  <c r="AB26" i="2"/>
  <c r="AB27" i="2"/>
  <c r="AC27" i="2" s="1"/>
  <c r="AB28" i="2"/>
  <c r="AC28" i="2" s="1"/>
  <c r="AB30" i="2"/>
  <c r="AB31" i="2"/>
  <c r="AB32" i="2"/>
  <c r="AC32" i="2" s="1"/>
  <c r="AB33" i="2"/>
  <c r="AC33" i="2" s="1"/>
  <c r="AB36" i="2"/>
  <c r="AC36" i="2" s="1"/>
  <c r="AB39" i="2"/>
  <c r="AB40" i="2"/>
  <c r="AC40" i="2" s="1"/>
  <c r="AB43" i="2"/>
  <c r="AC43" i="2" s="1"/>
  <c r="AB44" i="2"/>
  <c r="AC44" i="2" s="1"/>
  <c r="AB47" i="2"/>
  <c r="AC47" i="2" s="1"/>
  <c r="AC48" i="2"/>
  <c r="AB56" i="2"/>
  <c r="AC56" i="2" s="1"/>
  <c r="AB62" i="2"/>
  <c r="AC62" i="2" s="1"/>
  <c r="AB64" i="2"/>
  <c r="AB65" i="2"/>
  <c r="AB68" i="2"/>
  <c r="AB72" i="2"/>
  <c r="AC72" i="2" s="1"/>
  <c r="AB73" i="2"/>
  <c r="AC73" i="2" s="1"/>
  <c r="AB54" i="2"/>
  <c r="AB46" i="2"/>
  <c r="AC46" i="2" s="1"/>
  <c r="AB49" i="2"/>
  <c r="AC49" i="2" s="1"/>
  <c r="AB51" i="2"/>
  <c r="AC51" i="2" s="1"/>
  <c r="AB13" i="2"/>
  <c r="AC13" i="2" s="1"/>
  <c r="AX30" i="2"/>
  <c r="AU30" i="2"/>
  <c r="AX32" i="2"/>
  <c r="AJ26" i="2"/>
  <c r="AX34" i="2"/>
  <c r="AX39" i="2"/>
  <c r="AJ51" i="2"/>
  <c r="AK51" i="2" s="1"/>
  <c r="AL51" i="2" s="1"/>
  <c r="AJ49" i="2"/>
  <c r="AK49" i="2" s="1"/>
  <c r="AL49" i="2" s="1"/>
  <c r="AK46" i="2"/>
  <c r="AL46" i="2" s="1"/>
  <c r="AK54" i="2"/>
  <c r="AL54" i="2" s="1"/>
  <c r="AC54" i="2"/>
  <c r="AJ73" i="2"/>
  <c r="AK73" i="2" s="1"/>
  <c r="AL73" i="2" s="1"/>
  <c r="AJ72" i="2"/>
  <c r="AK72" i="2" s="1"/>
  <c r="AL72" i="2" s="1"/>
  <c r="N70" i="2"/>
  <c r="K70" i="2"/>
  <c r="AB70" i="2" s="1"/>
  <c r="AJ69" i="2"/>
  <c r="AK69" i="2" s="1"/>
  <c r="AL69" i="2" s="1"/>
  <c r="AK68" i="2"/>
  <c r="AL68" i="2" s="1"/>
  <c r="Z68" i="2"/>
  <c r="AD65" i="2"/>
  <c r="AJ65" i="2" s="1"/>
  <c r="AK65" i="2" s="1"/>
  <c r="AL65" i="2" s="1"/>
  <c r="Z65" i="2"/>
  <c r="AC65" i="2" s="1"/>
  <c r="AD64" i="2"/>
  <c r="AJ64" i="2" s="1"/>
  <c r="AC64" i="2"/>
  <c r="AJ62" i="2"/>
  <c r="AJ56" i="2"/>
  <c r="AX50" i="2"/>
  <c r="AO50" i="2"/>
  <c r="AJ50" i="2"/>
  <c r="AK50" i="2" s="1"/>
  <c r="AL50" i="2" s="1"/>
  <c r="O50" i="2"/>
  <c r="AB50" i="2" s="1"/>
  <c r="AX48" i="2"/>
  <c r="AE48" i="2"/>
  <c r="AX47" i="2"/>
  <c r="AO47" i="2"/>
  <c r="AK47" i="2"/>
  <c r="AL47" i="2" s="1"/>
  <c r="AK45" i="2"/>
  <c r="AL45" i="2" s="1"/>
  <c r="S45" i="2"/>
  <c r="K45" i="2"/>
  <c r="AB45" i="2" s="1"/>
  <c r="BC44" i="2"/>
  <c r="AU41" i="2"/>
  <c r="AJ41" i="2"/>
  <c r="AK41" i="2" s="1"/>
  <c r="AG41" i="2"/>
  <c r="V41" i="2"/>
  <c r="U41" i="2"/>
  <c r="N41" i="2"/>
  <c r="K41" i="2"/>
  <c r="AJ40" i="2"/>
  <c r="AK40" i="2" s="1"/>
  <c r="AL40" i="2" s="1"/>
  <c r="AJ39" i="2"/>
  <c r="AK39" i="2" s="1"/>
  <c r="AL39" i="2" s="1"/>
  <c r="AC39" i="2"/>
  <c r="AX38" i="2"/>
  <c r="AU38" i="2"/>
  <c r="AJ38" i="2"/>
  <c r="AK38" i="2" s="1"/>
  <c r="AL38" i="2" s="1"/>
  <c r="N38" i="2"/>
  <c r="AB38" i="2" s="1"/>
  <c r="AC38" i="2" s="1"/>
  <c r="AX37" i="2"/>
  <c r="AQ37" i="2"/>
  <c r="AO37" i="2"/>
  <c r="AJ37" i="2"/>
  <c r="AK37" i="2" s="1"/>
  <c r="AD37" i="2"/>
  <c r="R37" i="2"/>
  <c r="N37" i="2"/>
  <c r="K37" i="2"/>
  <c r="AB37" i="2" s="1"/>
  <c r="AJ36" i="2"/>
  <c r="AK36" i="2" s="1"/>
  <c r="AL36" i="2" s="1"/>
  <c r="AJ35" i="2"/>
  <c r="AK35" i="2" s="1"/>
  <c r="AL35" i="2" s="1"/>
  <c r="AJ34" i="2"/>
  <c r="AK34" i="2" s="1"/>
  <c r="AL34" i="2" s="1"/>
  <c r="N34" i="2"/>
  <c r="AB34" i="2" s="1"/>
  <c r="AC34" i="2" s="1"/>
  <c r="AJ33" i="2"/>
  <c r="AJ32" i="2"/>
  <c r="AK32" i="2" s="1"/>
  <c r="AL32" i="2" s="1"/>
  <c r="AJ31" i="2"/>
  <c r="AK31" i="2" s="1"/>
  <c r="AL31" i="2" s="1"/>
  <c r="AC31" i="2"/>
  <c r="AO30" i="2"/>
  <c r="AJ30" i="2"/>
  <c r="AK30" i="2" s="1"/>
  <c r="AL30" i="2" s="1"/>
  <c r="AC30" i="2"/>
  <c r="AJ29" i="2"/>
  <c r="AK29" i="2" s="1"/>
  <c r="AL29" i="2" s="1"/>
  <c r="Z29" i="2"/>
  <c r="N29" i="2"/>
  <c r="AB29" i="2" s="1"/>
  <c r="AX28" i="2"/>
  <c r="AU28" i="2"/>
  <c r="AO28" i="2"/>
  <c r="AI28" i="2"/>
  <c r="AD28" i="2"/>
  <c r="AJ28" i="2" s="1"/>
  <c r="AK28" i="2" s="1"/>
  <c r="AJ27" i="2"/>
  <c r="AK27" i="2" s="1"/>
  <c r="AL27" i="2" s="1"/>
  <c r="AC26" i="2"/>
  <c r="AJ25" i="2"/>
  <c r="BC25" i="2" s="1"/>
  <c r="AC25" i="2"/>
  <c r="AX24" i="2"/>
  <c r="AJ24" i="2"/>
  <c r="AK24" i="2" s="1"/>
  <c r="AG24" i="2"/>
  <c r="AJ23" i="2"/>
  <c r="AK23" i="2" s="1"/>
  <c r="AL23" i="2" s="1"/>
  <c r="AM23" i="2" s="1"/>
  <c r="AJ22" i="2"/>
  <c r="AK22" i="2" s="1"/>
  <c r="AL22" i="2" s="1"/>
  <c r="AC22" i="2"/>
  <c r="AX21" i="2"/>
  <c r="AL21" i="2"/>
  <c r="AM21" i="2" s="1"/>
  <c r="BF20" i="2"/>
  <c r="AX20" i="2"/>
  <c r="AO20" i="2"/>
  <c r="AE20" i="2"/>
  <c r="AD20" i="2"/>
  <c r="N20" i="2"/>
  <c r="AB20" i="2" s="1"/>
  <c r="AC20" i="2" s="1"/>
  <c r="BF19" i="2"/>
  <c r="AX19" i="2"/>
  <c r="AE19" i="2"/>
  <c r="AJ19" i="2" s="1"/>
  <c r="AK19" i="2" s="1"/>
  <c r="AL19" i="2" s="1"/>
  <c r="BF18" i="2"/>
  <c r="AX18" i="2"/>
  <c r="AJ18" i="2"/>
  <c r="AK18" i="2" s="1"/>
  <c r="AL18" i="2" s="1"/>
  <c r="BF17" i="2"/>
  <c r="AX17" i="2"/>
  <c r="AJ17" i="2"/>
  <c r="AK17" i="2" s="1"/>
  <c r="AL17" i="2" s="1"/>
  <c r="O17" i="2"/>
  <c r="AB17" i="2" s="1"/>
  <c r="AJ16" i="2"/>
  <c r="AK16" i="2" s="1"/>
  <c r="AL16" i="2" s="1"/>
  <c r="BF15" i="2"/>
  <c r="AW15" i="2"/>
  <c r="AX15" i="2" s="1"/>
  <c r="AK15" i="2"/>
  <c r="AL15" i="2" s="1"/>
  <c r="AC15" i="2"/>
  <c r="BF14" i="2"/>
  <c r="BC14" i="2"/>
  <c r="BF13" i="2"/>
  <c r="BC13" i="2"/>
  <c r="AX13" i="2"/>
  <c r="AK13" i="2"/>
  <c r="AL13" i="2" s="1"/>
  <c r="BF12" i="2"/>
  <c r="AX12" i="2"/>
  <c r="AJ12" i="2"/>
  <c r="AK12" i="2" s="1"/>
  <c r="AF12" i="2"/>
  <c r="AB12" i="2"/>
  <c r="AC12" i="2" s="1"/>
  <c r="BF11" i="2"/>
  <c r="AX11" i="2"/>
  <c r="AB11" i="2"/>
  <c r="AC11" i="2" s="1"/>
  <c r="BF10" i="2"/>
  <c r="AZ10" i="2"/>
  <c r="AX10" i="2"/>
  <c r="AJ10" i="2"/>
  <c r="AK10" i="2" s="1"/>
  <c r="AL10" i="2" s="1"/>
  <c r="AB10" i="2"/>
  <c r="AC10" i="2" s="1"/>
  <c r="BF9" i="2"/>
  <c r="AX9" i="2"/>
  <c r="AJ9" i="2"/>
  <c r="AB9" i="2"/>
  <c r="AC9" i="2" s="1"/>
  <c r="BF8" i="2"/>
  <c r="AY8" i="2"/>
  <c r="AX8" i="2"/>
  <c r="AR8" i="2"/>
  <c r="AJ8" i="2"/>
  <c r="AK8" i="2" s="1"/>
  <c r="AH8" i="2"/>
  <c r="AB8" i="2"/>
  <c r="AC8" i="2" s="1"/>
  <c r="BF7" i="2"/>
  <c r="AX7" i="2"/>
  <c r="AT7" i="2"/>
  <c r="AJ7" i="2"/>
  <c r="AK7" i="2" s="1"/>
  <c r="AL7" i="2" s="1"/>
  <c r="AB7" i="2"/>
  <c r="AC7" i="2" s="1"/>
  <c r="BF6" i="2"/>
  <c r="AY6" i="2"/>
  <c r="AX6" i="2"/>
  <c r="AB6" i="2"/>
  <c r="AC6" i="2" s="1"/>
  <c r="BF5" i="2"/>
  <c r="AX5" i="2"/>
  <c r="AT5" i="2"/>
  <c r="AD5" i="2"/>
  <c r="AJ5" i="2" s="1"/>
  <c r="AK5" i="2" s="1"/>
  <c r="AL5" i="2" s="1"/>
  <c r="AB5" i="2"/>
  <c r="AC5" i="2" s="1"/>
  <c r="BF4" i="2"/>
  <c r="BA4" i="2"/>
  <c r="AX4" i="2"/>
  <c r="AK4" i="2"/>
  <c r="AL4" i="2" s="1"/>
  <c r="AI4" i="2"/>
  <c r="N4" i="2"/>
  <c r="AB4" i="2" s="1"/>
  <c r="AC4" i="2" s="1"/>
  <c r="AX3" i="2"/>
  <c r="AK3" i="2"/>
  <c r="AL3" i="2" s="1"/>
  <c r="AB3" i="2"/>
  <c r="AC3" i="2" s="1"/>
  <c r="BF2" i="2"/>
  <c r="BM2" i="2" s="1"/>
  <c r="AX2" i="2"/>
  <c r="AO2" i="2"/>
  <c r="AJ2" i="2"/>
  <c r="AK2" i="2" s="1"/>
  <c r="AL2" i="2" s="1"/>
  <c r="AB2" i="2"/>
  <c r="AC2" i="2" s="1"/>
  <c r="BC11" i="2" l="1"/>
  <c r="AK62" i="2"/>
  <c r="AL62" i="2" s="1"/>
  <c r="BC62" i="2"/>
  <c r="BE62" i="2" s="1"/>
  <c r="AM63" i="3"/>
  <c r="AN63" i="3" s="1"/>
  <c r="AT63" i="3" s="1"/>
  <c r="BO50" i="2"/>
  <c r="BB20" i="2"/>
  <c r="BO20" i="2"/>
  <c r="AL28" i="2"/>
  <c r="BB37" i="2"/>
  <c r="BO37" i="2"/>
  <c r="AC45" i="2"/>
  <c r="BB47" i="2"/>
  <c r="BO47" i="2"/>
  <c r="AC50" i="2"/>
  <c r="BB3" i="2"/>
  <c r="BC3" i="2" s="1"/>
  <c r="BO3" i="2"/>
  <c r="BB2" i="2"/>
  <c r="BC2" i="2" s="1"/>
  <c r="BE2" i="2" s="1"/>
  <c r="BO2" i="2"/>
  <c r="AJ20" i="2"/>
  <c r="AK20" i="2" s="1"/>
  <c r="AL20" i="2" s="1"/>
  <c r="AM20" i="2" s="1"/>
  <c r="BB28" i="2"/>
  <c r="BO28" i="2"/>
  <c r="BO30" i="2"/>
  <c r="BB30" i="2"/>
  <c r="BC30" i="2" s="1"/>
  <c r="BD30" i="2" s="1"/>
  <c r="AJ48" i="2"/>
  <c r="AK48" i="2" s="1"/>
  <c r="AL48" i="2" s="1"/>
  <c r="AM48" i="2" s="1"/>
  <c r="AK43" i="2"/>
  <c r="AL43" i="2" s="1"/>
  <c r="AM43" i="2" s="1"/>
  <c r="BC43" i="2"/>
  <c r="BE43" i="2" s="1"/>
  <c r="AN11" i="3"/>
  <c r="AB41" i="2"/>
  <c r="BC46" i="2"/>
  <c r="BD46" i="2" s="1"/>
  <c r="BC49" i="2"/>
  <c r="BE49" i="2" s="1"/>
  <c r="AL12" i="2"/>
  <c r="AM12" i="2" s="1"/>
  <c r="AB35" i="2"/>
  <c r="AC35" i="2" s="1"/>
  <c r="AM35" i="2" s="1"/>
  <c r="AK44" i="2"/>
  <c r="AL44" i="2" s="1"/>
  <c r="AM44" i="2" s="1"/>
  <c r="AM39" i="2"/>
  <c r="BC22" i="2"/>
  <c r="BD22" i="2" s="1"/>
  <c r="BC33" i="2"/>
  <c r="BC26" i="2"/>
  <c r="AM3" i="2"/>
  <c r="AM32" i="2"/>
  <c r="BC38" i="2"/>
  <c r="AK33" i="2"/>
  <c r="AL33" i="2" s="1"/>
  <c r="AM33" i="2" s="1"/>
  <c r="BC40" i="2"/>
  <c r="BC45" i="2"/>
  <c r="BD45" i="2" s="1"/>
  <c r="BC56" i="2"/>
  <c r="BE56" i="2" s="1"/>
  <c r="AM72" i="2"/>
  <c r="AL41" i="2"/>
  <c r="BC41" i="2"/>
  <c r="AM4" i="2"/>
  <c r="BC37" i="2"/>
  <c r="BD37" i="2" s="1"/>
  <c r="BC54" i="2"/>
  <c r="BD54" i="2" s="1"/>
  <c r="BC7" i="2"/>
  <c r="BD7" i="2" s="1"/>
  <c r="AL8" i="2"/>
  <c r="AM8" i="2" s="1"/>
  <c r="BC20" i="2"/>
  <c r="BE20" i="2" s="1"/>
  <c r="BI20" i="2" s="1"/>
  <c r="AL24" i="2"/>
  <c r="AM24" i="2" s="1"/>
  <c r="BC28" i="2"/>
  <c r="BD28" i="2" s="1"/>
  <c r="BC34" i="2"/>
  <c r="BD34" i="2" s="1"/>
  <c r="AL37" i="2"/>
  <c r="BC48" i="2"/>
  <c r="BE48" i="2" s="1"/>
  <c r="BC12" i="2"/>
  <c r="BE12" i="2" s="1"/>
  <c r="BM12" i="2" s="1"/>
  <c r="BC23" i="2"/>
  <c r="BE23" i="2" s="1"/>
  <c r="AK26" i="2"/>
  <c r="AL26" i="2" s="1"/>
  <c r="AM26" i="2" s="1"/>
  <c r="BC39" i="2"/>
  <c r="BD39" i="2" s="1"/>
  <c r="AB69" i="2"/>
  <c r="AC69" i="2" s="1"/>
  <c r="AC17" i="2"/>
  <c r="AM17" i="2" s="1"/>
  <c r="BC5" i="2"/>
  <c r="BE5" i="2" s="1"/>
  <c r="BH5" i="2" s="1"/>
  <c r="BC10" i="2"/>
  <c r="BD10" i="2" s="1"/>
  <c r="BC16" i="2"/>
  <c r="BD16" i="2" s="1"/>
  <c r="BC17" i="2"/>
  <c r="BE17" i="2" s="1"/>
  <c r="BH17" i="2" s="1"/>
  <c r="BC32" i="2"/>
  <c r="BE32" i="2" s="1"/>
  <c r="BC36" i="2"/>
  <c r="BE36" i="2" s="1"/>
  <c r="BC50" i="2"/>
  <c r="BD50" i="2" s="1"/>
  <c r="AK56" i="2"/>
  <c r="AL56" i="2" s="1"/>
  <c r="AM56" i="2" s="1"/>
  <c r="BC29" i="2"/>
  <c r="AC68" i="2"/>
  <c r="AM68" i="2" s="1"/>
  <c r="AM47" i="2"/>
  <c r="AM11" i="2"/>
  <c r="AM5" i="2"/>
  <c r="AK25" i="2"/>
  <c r="AL25" i="2" s="1"/>
  <c r="AM25" i="2" s="1"/>
  <c r="BC27" i="2"/>
  <c r="BE27" i="2" s="1"/>
  <c r="AM31" i="2"/>
  <c r="AM65" i="2"/>
  <c r="BC68" i="2"/>
  <c r="BD68" i="2" s="1"/>
  <c r="AM6" i="2"/>
  <c r="AM18" i="2"/>
  <c r="AM34" i="2"/>
  <c r="BC18" i="2"/>
  <c r="BE18" i="2" s="1"/>
  <c r="BC69" i="2"/>
  <c r="BC73" i="2"/>
  <c r="BD73" i="2" s="1"/>
  <c r="BC24" i="2"/>
  <c r="BE24" i="2" s="1"/>
  <c r="AN54" i="3"/>
  <c r="AN41" i="3"/>
  <c r="AN84" i="3"/>
  <c r="BC6" i="2"/>
  <c r="BD6" i="2" s="1"/>
  <c r="BE33" i="2"/>
  <c r="BH33" i="2" s="1"/>
  <c r="AM15" i="2"/>
  <c r="AC29" i="2"/>
  <c r="AM29" i="2" s="1"/>
  <c r="AM38" i="2"/>
  <c r="AM40" i="2"/>
  <c r="AC70" i="2"/>
  <c r="AM73" i="2"/>
  <c r="AM54" i="2"/>
  <c r="AM46" i="2"/>
  <c r="BD26" i="2"/>
  <c r="AM22" i="2"/>
  <c r="AM30" i="2"/>
  <c r="AC37" i="2"/>
  <c r="BE44" i="2"/>
  <c r="AM62" i="2"/>
  <c r="AM49" i="2"/>
  <c r="AM51" i="2"/>
  <c r="AM13" i="2"/>
  <c r="AM27" i="2"/>
  <c r="BE26" i="2"/>
  <c r="BE14" i="2"/>
  <c r="BK14" i="2" s="1"/>
  <c r="BE7" i="2"/>
  <c r="BH7" i="2" s="1"/>
  <c r="AM19" i="2"/>
  <c r="AM7" i="2"/>
  <c r="AM10" i="2"/>
  <c r="BE13" i="2"/>
  <c r="BD17" i="2"/>
  <c r="BD25" i="2"/>
  <c r="BE25" i="2"/>
  <c r="BE28" i="2"/>
  <c r="BC9" i="2"/>
  <c r="AK9" i="2"/>
  <c r="AL9" i="2" s="1"/>
  <c r="AM9" i="2" s="1"/>
  <c r="BE11" i="2"/>
  <c r="BN11" i="2" s="1"/>
  <c r="BD11" i="2"/>
  <c r="BE22" i="2"/>
  <c r="BE10" i="2"/>
  <c r="BI10" i="2" s="1"/>
  <c r="AM14" i="2"/>
  <c r="BE15" i="2"/>
  <c r="BI15" i="2" s="1"/>
  <c r="BD15" i="2"/>
  <c r="BD18" i="2"/>
  <c r="AM2" i="2"/>
  <c r="BC4" i="2"/>
  <c r="BC19" i="2"/>
  <c r="BC70" i="2"/>
  <c r="BE70" i="2" s="1"/>
  <c r="AK70" i="2"/>
  <c r="AL70" i="2" s="1"/>
  <c r="BD13" i="2"/>
  <c r="BD14" i="2"/>
  <c r="Z16" i="2"/>
  <c r="AC16" i="2" s="1"/>
  <c r="BD23" i="2"/>
  <c r="BC31" i="2"/>
  <c r="BD33" i="2"/>
  <c r="BE40" i="2"/>
  <c r="BD44" i="2"/>
  <c r="BC47" i="2"/>
  <c r="BD49" i="2"/>
  <c r="BD38" i="2"/>
  <c r="BD40" i="2"/>
  <c r="BC51" i="2"/>
  <c r="BE51" i="2" s="1"/>
  <c r="AM28" i="2"/>
  <c r="BD48" i="2"/>
  <c r="BC65" i="2"/>
  <c r="BC8" i="2"/>
  <c r="BE34" i="2"/>
  <c r="BC35" i="2"/>
  <c r="BE38" i="2"/>
  <c r="BC64" i="2"/>
  <c r="BE64" i="2" s="1"/>
  <c r="AK64" i="2"/>
  <c r="AL64" i="2" s="1"/>
  <c r="AM64" i="2" s="1"/>
  <c r="BC72" i="2"/>
  <c r="BE46" i="2"/>
  <c r="AM50" i="2" l="1"/>
  <c r="BE50" i="2"/>
  <c r="BJ34" i="2"/>
  <c r="BE54" i="2"/>
  <c r="BE45" i="2"/>
  <c r="BD12" i="2"/>
  <c r="AM45" i="2"/>
  <c r="BD3" i="2"/>
  <c r="BE3" i="2"/>
  <c r="BE37" i="2"/>
  <c r="BD56" i="2"/>
  <c r="BD27" i="2"/>
  <c r="BN56" i="2"/>
  <c r="BJ70" i="2"/>
  <c r="BE73" i="2"/>
  <c r="BD20" i="2"/>
  <c r="BD2" i="2"/>
  <c r="BD24" i="2"/>
  <c r="BD69" i="2"/>
  <c r="BD43" i="2"/>
  <c r="AM69" i="2"/>
  <c r="BE69" i="2"/>
  <c r="AM37" i="2"/>
  <c r="BD5" i="2"/>
  <c r="BE39" i="2"/>
  <c r="BD32" i="2"/>
  <c r="BE30" i="2"/>
  <c r="AM70" i="2"/>
  <c r="BE6" i="2"/>
  <c r="BI6" i="2" s="1"/>
  <c r="AM16" i="2"/>
  <c r="BE16" i="2"/>
  <c r="BD9" i="2"/>
  <c r="BE9" i="2"/>
  <c r="BH9" i="2" s="1"/>
  <c r="BD64" i="2"/>
  <c r="BD8" i="2"/>
  <c r="BE8" i="2"/>
  <c r="BI8" i="2" s="1"/>
  <c r="BD29" i="2"/>
  <c r="BE29" i="2"/>
  <c r="BD70" i="2"/>
  <c r="BE19" i="2"/>
  <c r="BD19" i="2"/>
  <c r="BD31" i="2"/>
  <c r="BE31" i="2"/>
  <c r="BA65" i="2"/>
  <c r="BE65" i="2" s="1"/>
  <c r="BD65" i="2"/>
  <c r="BD51" i="2"/>
  <c r="AC41" i="2"/>
  <c r="BD41" i="2"/>
  <c r="BD62" i="2"/>
  <c r="BD72" i="2"/>
  <c r="BE72" i="2"/>
  <c r="BE35" i="2"/>
  <c r="BD35" i="2"/>
  <c r="BE47" i="2"/>
  <c r="BD47" i="2"/>
  <c r="BE4" i="2"/>
  <c r="BL3" i="2" s="1"/>
  <c r="BD4" i="2"/>
  <c r="BJ19" i="2" l="1"/>
  <c r="AM41" i="2"/>
  <c r="BE41" i="2"/>
  <c r="BJ38" i="2" s="1"/>
  <c r="AM78" i="3"/>
  <c r="AN78" i="3" s="1"/>
  <c r="AM64" i="3"/>
  <c r="AN64" i="3" s="1"/>
  <c r="BE6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Mirax</author>
    <author>Financeiro</author>
  </authors>
  <commentList>
    <comment ref="BN1" authorId="0" shapeId="0" xr:uid="{ACB337B6-FDF7-4309-862F-F945CDC72A8A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BV PARA EMPRESAS, AGENCIAS OU PESSOAS
</t>
        </r>
      </text>
    </comment>
    <comment ref="BY1" authorId="0" shapeId="0" xr:uid="{9B7B9F9F-DEC3-4DCA-81A4-62591734C8D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BV  COMERCIAL OPERA + BV MARIO POLINDIA</t>
        </r>
      </text>
    </comment>
    <comment ref="BF7" authorId="0" shapeId="0" xr:uid="{3C05116F-D3BB-42CC-947D-A0318EA5CD35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TIVEMOS 140 CORTESIAS </t>
        </r>
      </text>
    </comment>
    <comment ref="BT14" authorId="1" shapeId="0" xr:uid="{6F41D8A1-EF4F-4893-8012-A23EBCDBA51C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faltou 1 limpeza 
descontado </t>
        </r>
      </text>
    </comment>
    <comment ref="AI18" authorId="1" shapeId="0" xr:uid="{3997B3E8-5156-429D-BB24-6767042436A6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pacotes de gelo </t>
        </r>
      </text>
    </comment>
    <comment ref="AB19" authorId="1" shapeId="0" xr:uid="{98DF53D3-C39E-42FB-B179-AE0D8F733E4D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desconto </t>
        </r>
      </text>
    </comment>
    <comment ref="BD26" authorId="1" shapeId="0" xr:uid="{D42697AB-A055-4B0E-AB67-F7C5E71F98CC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desconto contrato b 27000
</t>
        </r>
      </text>
    </comment>
    <comment ref="AU28" authorId="1" shapeId="0" xr:uid="{6B03D445-7BC7-46C9-B7C7-ADB4C027866E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adtv coffe nespresso
</t>
        </r>
      </text>
    </comment>
    <comment ref="AC30" authorId="1" shapeId="0" xr:uid="{6C2EE6E4-AF7C-4865-8301-024464436679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desconto especial 
</t>
        </r>
      </text>
    </comment>
    <comment ref="AU30" authorId="1" shapeId="0" xr:uid="{A847D3AE-4F76-477B-A851-EE7C321CB62B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ADICIONAL LANCHE  BOX
</t>
        </r>
      </text>
    </comment>
    <comment ref="AV30" authorId="1" shapeId="0" xr:uid="{F2BF7E19-FF3D-425B-8FCF-84C0EF29DCBA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26 COFFE 
26 JANTAR
30 COFFE
40 JANTAR </t>
        </r>
      </text>
    </comment>
    <comment ref="AU35" authorId="1" shapeId="0" xr:uid="{8F5E893D-58C2-4184-89B5-BAC360AFF4D1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alimentação iza buzzi 2000k e 3500 coffe adicional </t>
        </r>
      </text>
    </comment>
    <comment ref="AX35" authorId="1" shapeId="0" xr:uid="{D0E7BE10-D177-406B-884C-5EC428B85F37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alimentação staff 
</t>
        </r>
      </text>
    </comment>
    <comment ref="AU38" authorId="1" shapeId="0" xr:uid="{CF626C40-80F8-4979-8C9C-394BA8712EC9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928,00 energetico rolha mario 
</t>
        </r>
      </text>
    </comment>
    <comment ref="AX38" authorId="1" shapeId="0" xr:uid="{93CA77F8-BAD1-4F01-A40C-44DA5CB4D333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12 meia entradas 
</t>
        </r>
      </text>
    </comment>
    <comment ref="AX39" authorId="1" shapeId="0" xr:uid="{2B9A430F-59B8-4FC4-871A-60E7DC19FB25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meia entrada 20 pax </t>
        </r>
      </text>
    </comment>
    <comment ref="AU41" authorId="1" shapeId="0" xr:uid="{735F33A7-5FDE-4ADE-B660-028313E2A668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adtv rider bandas </t>
        </r>
      </text>
    </comment>
    <comment ref="AA45" authorId="1" shapeId="0" xr:uid="{C2BFDBD5-3287-41E9-8691-F67DCE97D6C0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15 k adtv parte multi eventos / decoração produção em geral 
46131,00 adtv extras ( aguardando sayuri me enviar o descritivo correto 16-9-25)
</t>
        </r>
      </text>
    </comment>
    <comment ref="AI47" authorId="1" shapeId="0" xr:uid="{55B500F4-918B-46E4-BB92-7F39E43EED20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garrafa de café  4un
</t>
        </r>
      </text>
    </comment>
    <comment ref="V48" authorId="1" shapeId="0" xr:uid="{76F3CC71-3CBF-4350-B3D5-6D695C8CA96C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cenica extras </t>
        </r>
      </text>
    </comment>
    <comment ref="AU48" authorId="1" shapeId="0" xr:uid="{F9EB08FA-1239-4C69-ACCF-9F35D012E6E5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mesa extra
</t>
        </r>
      </text>
    </comment>
    <comment ref="AI50" authorId="1" shapeId="0" xr:uid="{0D716BF5-3F8C-4F62-9B53-3ACA4093C622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rider
</t>
        </r>
      </text>
    </comment>
    <comment ref="AA53" authorId="1" shapeId="0" xr:uid="{E7493916-9258-4A61-BC42-7D5AAA67B84C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lustres 
</t>
        </r>
      </text>
    </comment>
    <comment ref="AC53" authorId="1" shapeId="0" xr:uid="{7D7804E6-3231-4B49-9BB7-FF3C98A7E12B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imposto 0,92
</t>
        </r>
      </text>
    </comment>
    <comment ref="AU62" authorId="1" shapeId="0" xr:uid="{F1FC88D0-5BBE-4FF4-8F4E-FFE18475858B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coffe para 700 pax +fuul time</t>
        </r>
      </text>
    </comment>
    <comment ref="AU64" authorId="1" shapeId="0" xr:uid="{4ACA61D8-F6A7-43F0-B33E-A51B978ADD97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meia entrada 
</t>
        </r>
      </text>
    </comment>
    <comment ref="AU67" authorId="1" shapeId="0" xr:uid="{B6C72E84-B6E9-4648-8392-CDE4FAA0AA51}">
      <text>
        <r>
          <rPr>
            <b/>
            <sz val="9"/>
            <color indexed="81"/>
            <rFont val="Segoe UI"/>
            <family val="2"/>
          </rPr>
          <t xml:space="preserve">Financeiro:robusta coffe
</t>
        </r>
      </text>
    </comment>
    <comment ref="AU70" authorId="1" shapeId="0" xr:uid="{396A5829-A70E-4BAA-83A4-BDD305DFF417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após as 00h
+ 11664,00 coffe da manha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Financeiro</author>
  </authors>
  <commentList>
    <comment ref="H44" authorId="0" shapeId="0" xr:uid="{FC107D85-4B99-4F69-8B9C-A574DDEAEB80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evento externo bar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Mirax</author>
    <author>Financeiro</author>
  </authors>
  <commentList>
    <comment ref="AW1" authorId="0" shapeId="0" xr:uid="{70A2ECD6-605B-4C8F-A5AB-DBFA0604257E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BV PARA EMPRESAS, AGENCIAS OU PESSOAS
</t>
        </r>
      </text>
    </comment>
    <comment ref="AY2" authorId="0" shapeId="0" xr:uid="{7EA4CA51-F8E6-46A4-A1D0-FA16C488B72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STATUS DEVE L.A 
</t>
        </r>
      </text>
    </comment>
    <comment ref="AN8" authorId="0" shapeId="0" xr:uid="{56F8E745-034E-40DD-ACE9-CAEF74C19323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esse aqui estava com erro no resumo e proposta mas as disse o então recebemos total 83570,00
</t>
        </r>
      </text>
    </comment>
    <comment ref="P11" authorId="0" shapeId="0" xr:uid="{24EC8B9A-6F59-467A-AADE-3CF54B6E4206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decoração </t>
        </r>
      </text>
    </comment>
    <comment ref="U18" authorId="1" shapeId="0" xr:uid="{D3682761-E927-44B2-B45C-069368D45D4E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2 dias de evento 2000 por dia </t>
        </r>
      </text>
    </comment>
    <comment ref="B48" authorId="1" shapeId="0" xr:uid="{211A3EB6-172B-4FF8-B4EB-2242FF8CB8A7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DIA 31/05 TBM MSM CONTRATO</t>
        </r>
      </text>
    </comment>
    <comment ref="U48" authorId="1" shapeId="0" xr:uid="{3DD136FC-FBE1-428E-873F-E597892F5ED9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para os 2 dias de evento 
</t>
        </r>
      </text>
    </comment>
    <comment ref="P54" authorId="1" shapeId="0" xr:uid="{C4F33EFD-1124-4F97-8322-6D606F37860B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harmonizaççao</t>
        </r>
      </text>
    </comment>
    <comment ref="P56" authorId="1" shapeId="0" xr:uid="{884220B3-8DDB-4F93-858A-4FF649DDB6C9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taças de vinho e espumante 
</t>
        </r>
      </text>
    </comment>
    <comment ref="AF69" authorId="1" shapeId="0" xr:uid="{2C1DAA45-C8EF-4B57-A986-D15CC13F5E93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valor divido pois teve meia e não pagantes
</t>
        </r>
      </text>
    </comment>
    <comment ref="AG72" authorId="1" shapeId="0" xr:uid="{7151CCAB-EF68-4F16-92C2-DCA446452B09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meia entrada 32 pax
</t>
        </r>
      </text>
    </comment>
    <comment ref="AN77" authorId="1" shapeId="0" xr:uid="{F30AF7FE-7050-42AD-879C-5DBA3D9F1E1F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B84" authorId="1" shapeId="0" xr:uid="{DA3DB520-7A4A-46C2-AA44-EFEFBB8DAE49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ADICIONAL CAMARIN
</t>
        </r>
      </text>
    </comment>
    <comment ref="AN85" authorId="1" shapeId="0" xr:uid="{F7990866-5C7F-4F27-A584-DEF5C4291DD2}">
      <text>
        <r>
          <rPr>
            <b/>
            <sz val="9"/>
            <color indexed="81"/>
            <rFont val="Segoe UI"/>
            <family val="2"/>
          </rPr>
          <t>Financeiro:recebido via permuta</t>
        </r>
      </text>
    </comment>
    <comment ref="AN101" authorId="1" shapeId="0" xr:uid="{4249D5FB-4F8A-47A7-A9C4-947E41724BA8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desconto especial </t>
        </r>
      </text>
    </comment>
    <comment ref="P102" authorId="1" shapeId="0" xr:uid="{AC12E619-39E6-4796-9062-410AED66184A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agua full </t>
        </r>
      </text>
    </comment>
  </commentList>
</comments>
</file>

<file path=xl/sharedStrings.xml><?xml version="1.0" encoding="utf-8"?>
<sst xmlns="http://schemas.openxmlformats.org/spreadsheetml/2006/main" count="1443" uniqueCount="479">
  <si>
    <t>OCH</t>
  </si>
  <si>
    <t>SAYURI</t>
  </si>
  <si>
    <t>L+B</t>
  </si>
  <si>
    <t>gabriel</t>
  </si>
  <si>
    <t>L</t>
  </si>
  <si>
    <t>och</t>
  </si>
  <si>
    <t>ALIMENTAÇÃO</t>
  </si>
  <si>
    <t>cortesia</t>
  </si>
  <si>
    <t>viva</t>
  </si>
  <si>
    <t>formatura</t>
  </si>
  <si>
    <t>l+b</t>
  </si>
  <si>
    <t>diego</t>
  </si>
  <si>
    <t>l</t>
  </si>
  <si>
    <t xml:space="preserve">viasoft </t>
  </si>
  <si>
    <t>neizinho</t>
  </si>
  <si>
    <t>coffe break</t>
  </si>
  <si>
    <t>formo</t>
  </si>
  <si>
    <t>pre evento</t>
  </si>
  <si>
    <t xml:space="preserve">diego </t>
  </si>
  <si>
    <t xml:space="preserve">nova era </t>
  </si>
  <si>
    <t>DECORAÇÃO</t>
  </si>
  <si>
    <t>n°</t>
  </si>
  <si>
    <t xml:space="preserve">DATA </t>
  </si>
  <si>
    <t xml:space="preserve">EVENTO </t>
  </si>
  <si>
    <t xml:space="preserve">AGENCIA </t>
  </si>
  <si>
    <t>E. VENDAS</t>
  </si>
  <si>
    <t>GENERO</t>
  </si>
  <si>
    <t>TIPO</t>
  </si>
  <si>
    <t>N° CTT</t>
  </si>
  <si>
    <t xml:space="preserve">LOCAL </t>
  </si>
  <si>
    <t>LOCAÇÃO</t>
  </si>
  <si>
    <t>ECAD</t>
  </si>
  <si>
    <t>GERADOR</t>
  </si>
  <si>
    <t>PLAY</t>
  </si>
  <si>
    <t>STAFF</t>
  </si>
  <si>
    <t>HEAD</t>
  </si>
  <si>
    <t>MULTI</t>
  </si>
  <si>
    <t>PAINEL DE LEDS</t>
  </si>
  <si>
    <t xml:space="preserve">VALLET </t>
  </si>
  <si>
    <t>ADTV DECORAÇÃO</t>
  </si>
  <si>
    <t>ADTV PLAY</t>
  </si>
  <si>
    <t>ADTV REC/SEG</t>
  </si>
  <si>
    <t xml:space="preserve">ADTV VALLET </t>
  </si>
  <si>
    <t>ADTV STAFF</t>
  </si>
  <si>
    <t xml:space="preserve">IMPOSTO </t>
  </si>
  <si>
    <t xml:space="preserve">ADTV </t>
  </si>
  <si>
    <t>CONTRATO L L</t>
  </si>
  <si>
    <t>SOFT</t>
  </si>
  <si>
    <t>B. Drinks INKS</t>
  </si>
  <si>
    <t>ADTV BAR DE DRINKS</t>
  </si>
  <si>
    <t>ADTV  ENERGETICO</t>
  </si>
  <si>
    <t xml:space="preserve">R$ BAR </t>
  </si>
  <si>
    <t xml:space="preserve">TOTAL BAR </t>
  </si>
  <si>
    <t>TOTAL BAR +ADTV</t>
  </si>
  <si>
    <t xml:space="preserve">TOTAL L + BAR </t>
  </si>
  <si>
    <t xml:space="preserve">pax </t>
  </si>
  <si>
    <t>B.S E B.B</t>
  </si>
  <si>
    <t>ADTV B.B</t>
  </si>
  <si>
    <t xml:space="preserve">ADTV CENTO DE DOCES </t>
  </si>
  <si>
    <t>PAX ENXTRA</t>
  </si>
  <si>
    <t xml:space="preserve">CONVITE EXTRA </t>
  </si>
  <si>
    <t xml:space="preserve">TOTAL CONVITE EXTRA </t>
  </si>
  <si>
    <t>IPCA CTT</t>
  </si>
  <si>
    <t xml:space="preserve">IPCA CONVITE </t>
  </si>
  <si>
    <t xml:space="preserve">R$ BUFFET </t>
  </si>
  <si>
    <t xml:space="preserve">TOTAL CONTRATO B </t>
  </si>
  <si>
    <t>INICIAL L+B</t>
  </si>
  <si>
    <t>TOTAL L+B + IMPOSTO+IPCA</t>
  </si>
  <si>
    <t>PAX TOTAL EVENTO</t>
  </si>
  <si>
    <t>economia puc</t>
  </si>
  <si>
    <t>formatture</t>
  </si>
  <si>
    <t xml:space="preserve">diego / sayuri </t>
  </si>
  <si>
    <t>são cristovan</t>
  </si>
  <si>
    <t>10 fomaturas</t>
  </si>
  <si>
    <t>sayuri</t>
  </si>
  <si>
    <t>joy colibri</t>
  </si>
  <si>
    <t>joy</t>
  </si>
  <si>
    <t>coroprativo</t>
  </si>
  <si>
    <t xml:space="preserve">odonto </t>
  </si>
  <si>
    <t>euphoria</t>
  </si>
  <si>
    <t xml:space="preserve">dto unicuritiba </t>
  </si>
  <si>
    <t xml:space="preserve"> nova era</t>
  </si>
  <si>
    <t xml:space="preserve">enfermagem biomed arquitetura  </t>
  </si>
  <si>
    <t>baile med vet turmas nova era</t>
  </si>
  <si>
    <t>nova era</t>
  </si>
  <si>
    <t>edc e jornalismo</t>
  </si>
  <si>
    <t>bar</t>
  </si>
  <si>
    <t>paraiso eventos</t>
  </si>
  <si>
    <t xml:space="preserve">enfermagem nova era </t>
  </si>
  <si>
    <t xml:space="preserve">brfoods 2025 </t>
  </si>
  <si>
    <t>corporativo</t>
  </si>
  <si>
    <t>dto formatture</t>
  </si>
  <si>
    <t>legendarios 2025</t>
  </si>
  <si>
    <t>pib</t>
  </si>
  <si>
    <t>jantar</t>
  </si>
  <si>
    <t>direito fae</t>
  </si>
  <si>
    <t>yz</t>
  </si>
  <si>
    <t xml:space="preserve">turmas fisioterapia nova era </t>
  </si>
  <si>
    <t>aras inaguração</t>
  </si>
  <si>
    <t>med up 22</t>
  </si>
  <si>
    <t>IGREJA VIDEIRA CWB</t>
  </si>
  <si>
    <t>social</t>
  </si>
  <si>
    <t>baile polyndia</t>
  </si>
  <si>
    <t xml:space="preserve">varias turmas nova era </t>
  </si>
  <si>
    <t xml:space="preserve">cha de bebe edson </t>
  </si>
  <si>
    <t>esposa de legendarios coffe</t>
  </si>
  <si>
    <t>religioso</t>
  </si>
  <si>
    <t xml:space="preserve">jantar legendarios </t>
  </si>
  <si>
    <t>formatura rafael cintia</t>
  </si>
  <si>
    <t xml:space="preserve">formatura </t>
  </si>
  <si>
    <t xml:space="preserve"> bar</t>
  </si>
  <si>
    <t xml:space="preserve">legendarios jantar </t>
  </si>
  <si>
    <t xml:space="preserve">aniversario alex </t>
  </si>
  <si>
    <t>aniversario</t>
  </si>
  <si>
    <t xml:space="preserve">festa junina corporativa </t>
  </si>
  <si>
    <t>amantra</t>
  </si>
  <si>
    <t>festa</t>
  </si>
  <si>
    <t>chacara vaquinhas</t>
  </si>
  <si>
    <t>sinduscon 2025</t>
  </si>
  <si>
    <t>sinduscon</t>
  </si>
  <si>
    <t>renata+ sayuri</t>
  </si>
  <si>
    <t>portfel geon</t>
  </si>
  <si>
    <t>pri class poemia</t>
  </si>
  <si>
    <t>bailinho do bossa</t>
  </si>
  <si>
    <t>jubileu polyndia</t>
  </si>
  <si>
    <t>polyndia</t>
  </si>
  <si>
    <t xml:space="preserve">joaçaba drinks </t>
  </si>
  <si>
    <t>joaçaba</t>
  </si>
  <si>
    <t xml:space="preserve">Jubilei 2° semestre </t>
  </si>
  <si>
    <t>15 anos maria luiza</t>
  </si>
  <si>
    <t xml:space="preserve">festa friends </t>
  </si>
  <si>
    <t>surreal</t>
  </si>
  <si>
    <t xml:space="preserve">brfoods extencionistas </t>
  </si>
  <si>
    <t>brf</t>
  </si>
  <si>
    <t>l+n</t>
  </si>
  <si>
    <t xml:space="preserve">baile de odonto </t>
  </si>
  <si>
    <t xml:space="preserve">pre evento med vet viva </t>
  </si>
  <si>
    <t xml:space="preserve">botanico </t>
  </si>
  <si>
    <t xml:space="preserve">fukushima oab </t>
  </si>
  <si>
    <t>oab</t>
  </si>
  <si>
    <t xml:space="preserve">med clix </t>
  </si>
  <si>
    <t>tempo de casa</t>
  </si>
  <si>
    <t>positivo</t>
  </si>
  <si>
    <t>fabio mma</t>
  </si>
  <si>
    <t xml:space="preserve">congresso panamericano </t>
  </si>
  <si>
    <t>congresso</t>
  </si>
  <si>
    <t xml:space="preserve">och </t>
  </si>
  <si>
    <t xml:space="preserve">50anos pizzatolog </t>
  </si>
  <si>
    <t>boticario encntro de formações</t>
  </si>
  <si>
    <t>air promo</t>
  </si>
  <si>
    <t>ensinando de siao</t>
  </si>
  <si>
    <t>play</t>
  </si>
  <si>
    <t>adepol</t>
  </si>
  <si>
    <t>rdp melina</t>
  </si>
  <si>
    <t>nossa saude</t>
  </si>
  <si>
    <t xml:space="preserve">bom jesus </t>
  </si>
  <si>
    <t>multiplicativa</t>
  </si>
  <si>
    <t>cpm 2025</t>
  </si>
  <si>
    <t xml:space="preserve">furquim </t>
  </si>
  <si>
    <t>maximus</t>
  </si>
  <si>
    <t>narcizo meneses</t>
  </si>
  <si>
    <t>festa folks roni</t>
  </si>
  <si>
    <t>TOTAL L + adtv</t>
  </si>
  <si>
    <t xml:space="preserve">ROBUSTA </t>
  </si>
  <si>
    <t xml:space="preserve">STAFF/ LOG </t>
  </si>
  <si>
    <t>ADTV MATERIAL</t>
  </si>
  <si>
    <t xml:space="preserve">ADTV LANCHE MADR/ ALIMNETAÇÃO </t>
  </si>
  <si>
    <t>ADTV DECOR</t>
  </si>
  <si>
    <t xml:space="preserve">TOTAL +STAFF </t>
  </si>
  <si>
    <t xml:space="preserve">BAR + STAFF + B </t>
  </si>
  <si>
    <t>celepar</t>
  </si>
  <si>
    <t>a</t>
  </si>
  <si>
    <t>baile agro fait</t>
  </si>
  <si>
    <t>fomature</t>
  </si>
  <si>
    <t xml:space="preserve">itapeva sp </t>
  </si>
  <si>
    <t>pre evento med ufpr</t>
  </si>
  <si>
    <t xml:space="preserve"> chacara são carlo</t>
  </si>
  <si>
    <t xml:space="preserve">15 anos sophia </t>
  </si>
  <si>
    <t>carol</t>
  </si>
  <si>
    <t xml:space="preserve">laggus </t>
  </si>
  <si>
    <t>MED PUC  PR 82</t>
  </si>
  <si>
    <t>A</t>
  </si>
  <si>
    <t>led one</t>
  </si>
  <si>
    <t>auditorio celepar</t>
  </si>
  <si>
    <t>gt buildinf</t>
  </si>
  <si>
    <t>gt</t>
  </si>
  <si>
    <t xml:space="preserve">positivo </t>
  </si>
  <si>
    <t xml:space="preserve">baile med uepg </t>
  </si>
  <si>
    <t>silvana kuhn</t>
  </si>
  <si>
    <t>baile med puc 82</t>
  </si>
  <si>
    <t>coffe break gt building</t>
  </si>
  <si>
    <t>joy live</t>
  </si>
  <si>
    <t>coffe brea</t>
  </si>
  <si>
    <t xml:space="preserve">cep baile </t>
  </si>
  <si>
    <t>baile fisio e enfermagem</t>
  </si>
  <si>
    <t>fi mensal fer leão</t>
  </si>
  <si>
    <t xml:space="preserve">baile dto </t>
  </si>
  <si>
    <t>15 anos sofia</t>
  </si>
  <si>
    <t>15 anos</t>
  </si>
  <si>
    <t>salão de festas</t>
  </si>
  <si>
    <t>baile med unioeste</t>
  </si>
  <si>
    <t>unioeste</t>
  </si>
  <si>
    <t>family day formo</t>
  </si>
  <si>
    <t>boticario2025 encontro de parceiros</t>
  </si>
  <si>
    <t>viasoft sala espelhos</t>
  </si>
  <si>
    <t>pre evento med 160 ufpr</t>
  </si>
  <si>
    <t>haras adagio</t>
  </si>
  <si>
    <t>edc fisica e jornalismo</t>
  </si>
  <si>
    <t>pre evento med puc 90</t>
  </si>
  <si>
    <t>dunna</t>
  </si>
  <si>
    <t xml:space="preserve">edf odonto </t>
  </si>
  <si>
    <t>pre evento med fapit2</t>
  </si>
  <si>
    <t>mansão jardino</t>
  </si>
  <si>
    <t xml:space="preserve">baile agronomia e eng civil </t>
  </si>
  <si>
    <t>mirante campos</t>
  </si>
  <si>
    <t>associação cultura inglesa</t>
  </si>
  <si>
    <t>cultura inglesa</t>
  </si>
  <si>
    <t>alimentação externa</t>
  </si>
  <si>
    <t>opera de arame</t>
  </si>
  <si>
    <t>san acrlo</t>
  </si>
  <si>
    <t>dto unidombosco</t>
  </si>
  <si>
    <t>viva eventos</t>
  </si>
  <si>
    <t>curitibano</t>
  </si>
  <si>
    <t xml:space="preserve">festa 167 </t>
  </si>
  <si>
    <t>naile unificadas formatture</t>
  </si>
  <si>
    <t>joy plaenge</t>
  </si>
  <si>
    <t>odonto psico unicesumar</t>
  </si>
  <si>
    <t>ponta lagoa</t>
  </si>
  <si>
    <t>med ufpr clix</t>
  </si>
  <si>
    <t>unificadas formattre</t>
  </si>
  <si>
    <t>ponta da lagoa</t>
  </si>
  <si>
    <t xml:space="preserve">colaçao viva </t>
  </si>
  <si>
    <t>boticario mary</t>
  </si>
  <si>
    <t xml:space="preserve">med vet puc </t>
  </si>
  <si>
    <t xml:space="preserve">coffe marista </t>
  </si>
  <si>
    <t>marista</t>
  </si>
  <si>
    <t xml:space="preserve">canapes </t>
  </si>
  <si>
    <t>intermed 2025</t>
  </si>
  <si>
    <t>pato branco</t>
  </si>
  <si>
    <t xml:space="preserve">jantar baccila </t>
  </si>
  <si>
    <t>baccila</t>
  </si>
  <si>
    <t xml:space="preserve">churrasco claudia </t>
  </si>
  <si>
    <t>churrasco</t>
  </si>
  <si>
    <t>gt tom jobim</t>
  </si>
  <si>
    <t>gt building</t>
  </si>
  <si>
    <t>colaçao de grau fep</t>
  </si>
  <si>
    <t>teatro fep</t>
  </si>
  <si>
    <t xml:space="preserve">festa junina euphoria </t>
  </si>
  <si>
    <t>colação de frau marista</t>
  </si>
  <si>
    <t xml:space="preserve">teatro marista </t>
  </si>
  <si>
    <t xml:space="preserve">camarim nora jones </t>
  </si>
  <si>
    <t>rw7</t>
  </si>
  <si>
    <t>camarim</t>
  </si>
  <si>
    <t>med fag 19</t>
  </si>
  <si>
    <t xml:space="preserve">sociedade rural </t>
  </si>
  <si>
    <t>Camarim multiplicativa</t>
  </si>
  <si>
    <t>casamento irma leo</t>
  </si>
  <si>
    <t>casamento</t>
  </si>
  <si>
    <t>chacara</t>
  </si>
  <si>
    <t xml:space="preserve">100 anos marista </t>
  </si>
  <si>
    <t xml:space="preserve">marista </t>
  </si>
  <si>
    <t>casa jobim</t>
  </si>
  <si>
    <t xml:space="preserve">gt </t>
  </si>
  <si>
    <t>dr geninho</t>
  </si>
  <si>
    <t>coffe induscon</t>
  </si>
  <si>
    <t>induscon</t>
  </si>
  <si>
    <t>tom jobim</t>
  </si>
  <si>
    <t xml:space="preserve">guairão gt building </t>
  </si>
  <si>
    <t>pre evento med fpp</t>
  </si>
  <si>
    <t xml:space="preserve">arraia polyndia </t>
  </si>
  <si>
    <t xml:space="preserve">espaço vip </t>
  </si>
  <si>
    <t xml:space="preserve">pre evento med </t>
  </si>
  <si>
    <t>pre ecebto formo familly daay</t>
  </si>
  <si>
    <t>café da manha yz</t>
  </si>
  <si>
    <t>coffe</t>
  </si>
  <si>
    <t>encontro amazonia</t>
  </si>
  <si>
    <t>alimentação</t>
  </si>
  <si>
    <t>arraia invescon</t>
  </si>
  <si>
    <t>invescon</t>
  </si>
  <si>
    <t>bbc</t>
  </si>
  <si>
    <t>med fpp pre evento</t>
  </si>
  <si>
    <t xml:space="preserve">café da manha </t>
  </si>
  <si>
    <t>cha de bebe marcelo veneri</t>
  </si>
  <si>
    <t>cha de bebe</t>
  </si>
  <si>
    <t>pre evento euphoria juliano</t>
  </si>
  <si>
    <t>MED FEMPAR 66</t>
  </si>
  <si>
    <t>viasoft</t>
  </si>
  <si>
    <t>med joaçaba</t>
  </si>
  <si>
    <t>joaçaba sc</t>
  </si>
  <si>
    <t>gt livro mora em mim</t>
  </si>
  <si>
    <t>med puc 83</t>
  </si>
  <si>
    <t>rodrigo palacio</t>
  </si>
  <si>
    <t>alimentaçao</t>
  </si>
  <si>
    <t>palacio</t>
  </si>
  <si>
    <t xml:space="preserve">amatra </t>
  </si>
  <si>
    <t>amatra</t>
  </si>
  <si>
    <t>brunch</t>
  </si>
  <si>
    <t>pre evento formo</t>
  </si>
  <si>
    <t xml:space="preserve">coffe break acelera </t>
  </si>
  <si>
    <t>acelera brasil</t>
  </si>
  <si>
    <t>akyama 20 anos</t>
  </si>
  <si>
    <t>akyama</t>
  </si>
  <si>
    <t>explore</t>
  </si>
  <si>
    <t>med tux cupola</t>
  </si>
  <si>
    <t>robusta</t>
  </si>
  <si>
    <t>r</t>
  </si>
  <si>
    <t>docca</t>
  </si>
  <si>
    <t xml:space="preserve">pre evento med clix </t>
  </si>
  <si>
    <t>casa cliente</t>
  </si>
  <si>
    <t>pre evento med unicentro</t>
  </si>
  <si>
    <t xml:space="preserve">av ver rubens </t>
  </si>
  <si>
    <t xml:space="preserve">MMED CLIX </t>
  </si>
  <si>
    <t xml:space="preserve">torriton day formo </t>
  </si>
  <si>
    <t>v congresso de medicina</t>
  </si>
  <si>
    <t xml:space="preserve">pre evento claudia são jose dos pinais </t>
  </si>
  <si>
    <t>san carlo</t>
  </si>
  <si>
    <t xml:space="preserve">led one alimentaçãop </t>
  </si>
  <si>
    <t>black housa</t>
  </si>
  <si>
    <t>pre evento preio gpte cwb 2025</t>
  </si>
  <si>
    <t>gptw</t>
  </si>
  <si>
    <t>med clx camila</t>
  </si>
  <si>
    <t xml:space="preserve">me joaçaba </t>
  </si>
  <si>
    <t xml:space="preserve"> </t>
  </si>
  <si>
    <t>marista paranaense</t>
  </si>
  <si>
    <t>we multiply</t>
  </si>
  <si>
    <t xml:space="preserve">med unifibre </t>
  </si>
  <si>
    <t>marias balneario</t>
  </si>
  <si>
    <t xml:space="preserve">santa maria </t>
  </si>
  <si>
    <t xml:space="preserve">MED UNIFIBE T3 </t>
  </si>
  <si>
    <t>casamento salazar</t>
  </si>
  <si>
    <t>part gabriel</t>
  </si>
  <si>
    <t xml:space="preserve">casacavel </t>
  </si>
  <si>
    <t>odonto herreiro</t>
  </si>
  <si>
    <t>med unichapeco</t>
  </si>
  <si>
    <t xml:space="preserve">centro de eventos chapeco </t>
  </si>
  <si>
    <t>BV EUPHORIA</t>
  </si>
  <si>
    <t xml:space="preserve">BV NOVA ERA </t>
  </si>
  <si>
    <t xml:space="preserve">BV POLYNDIA </t>
  </si>
  <si>
    <t xml:space="preserve">BV YZ </t>
  </si>
  <si>
    <t>BV 10</t>
  </si>
  <si>
    <t xml:space="preserve">BV FORMATTURE </t>
  </si>
  <si>
    <t>BV DIVERSOS</t>
  </si>
  <si>
    <t>ROYOLTS</t>
  </si>
  <si>
    <t>AVARIAS L +B</t>
  </si>
  <si>
    <t>PLAY AUDIO</t>
  </si>
  <si>
    <t xml:space="preserve">GERADOR </t>
  </si>
  <si>
    <t>LIMPEZA</t>
  </si>
  <si>
    <t>RECPÇÃO</t>
  </si>
  <si>
    <t xml:space="preserve">SEGURANÇA </t>
  </si>
  <si>
    <t>BV OCH</t>
  </si>
  <si>
    <t xml:space="preserve">CUSTO SOFT </t>
  </si>
  <si>
    <t xml:space="preserve">CUSTO DRINKS </t>
  </si>
  <si>
    <t>DESPESA OCH</t>
  </si>
  <si>
    <t>STAFF BAR</t>
  </si>
  <si>
    <t xml:space="preserve">FORNECEDOR </t>
  </si>
  <si>
    <t xml:space="preserve">CADEIRAS </t>
  </si>
  <si>
    <t xml:space="preserve">TOTAL </t>
  </si>
  <si>
    <t xml:space="preserve">REPASSE ENTRE EMPRESAS </t>
  </si>
  <si>
    <t xml:space="preserve">AVARIAS B </t>
  </si>
  <si>
    <t xml:space="preserve">STAFF </t>
  </si>
  <si>
    <t>COM SOFT</t>
  </si>
  <si>
    <t xml:space="preserve"> COM DRINK</t>
  </si>
  <si>
    <t>Jan</t>
  </si>
  <si>
    <t>Faturamento Bruto Locação</t>
  </si>
  <si>
    <t>Custo Fixo</t>
  </si>
  <si>
    <t>Custo variavel (30%)</t>
  </si>
  <si>
    <t>% atingimento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</si>
  <si>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</si>
  <si>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</si>
  <si>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</si>
  <si>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</si>
  <si>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</si>
  <si>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</si>
  <si>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</si>
  <si>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</si>
  <si>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</si>
  <si>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</si>
  <si>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</si>
  <si>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NATAL</t>
  </si>
  <si>
    <t>Faturamento Bruto Locação Acumulado</t>
  </si>
  <si>
    <t>Custo Fixo Anual</t>
  </si>
  <si>
    <t>Custo variável (30%)</t>
  </si>
  <si>
    <t>objetivo</t>
  </si>
  <si>
    <t>alcançado</t>
  </si>
  <si>
    <t>saldo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</si>
  <si>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</si>
  <si>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</si>
  <si>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</si>
  <si>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</si>
  <si>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</si>
  <si>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</si>
  <si>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</si>
  <si>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</si>
  <si>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</si>
  <si>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</si>
  <si>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</si>
  <si>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</si>
  <si>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,</t>
  </si>
  <si>
    <t xml:space="preserve">rdp </t>
  </si>
  <si>
    <t xml:space="preserve">bossa </t>
  </si>
  <si>
    <t>portfel</t>
  </si>
  <si>
    <t xml:space="preserve">la orana </t>
  </si>
  <si>
    <t xml:space="preserve">polyndia </t>
  </si>
  <si>
    <t>batedeira de ouro boticario</t>
  </si>
  <si>
    <t>boticario</t>
  </si>
  <si>
    <t>boticario sj</t>
  </si>
  <si>
    <t>pre evento ponta da lagoa</t>
  </si>
  <si>
    <t>coffe break amatra</t>
  </si>
  <si>
    <t>pre evento med puc 84</t>
  </si>
  <si>
    <t>chacara holz</t>
  </si>
  <si>
    <t xml:space="preserve">RESUMO </t>
  </si>
  <si>
    <t xml:space="preserve">ATA </t>
  </si>
  <si>
    <t>GERAL</t>
  </si>
  <si>
    <t>PARAMOS NO NUMEROL0729</t>
  </si>
  <si>
    <t xml:space="preserve">vanguard nem in </t>
  </si>
  <si>
    <t>vanguard</t>
  </si>
  <si>
    <t>brfoods nossa gente nossa historia</t>
  </si>
  <si>
    <t>coffe santa maria</t>
  </si>
  <si>
    <t>santa maria</t>
  </si>
  <si>
    <t xml:space="preserve">convensão gt </t>
  </si>
  <si>
    <t>decoração</t>
  </si>
  <si>
    <t>d+b</t>
  </si>
  <si>
    <t>gt building convensão</t>
  </si>
  <si>
    <t>15 anos alice</t>
  </si>
  <si>
    <t>coffe brerak viva colação</t>
  </si>
  <si>
    <t>coffe break bradesco</t>
  </si>
  <si>
    <t>bradesco</t>
  </si>
  <si>
    <t>bradesco juveve</t>
  </si>
  <si>
    <t>educadores marista 2025</t>
  </si>
  <si>
    <t xml:space="preserve">final de ano amatra </t>
  </si>
  <si>
    <t>alimentaçao externa</t>
  </si>
  <si>
    <t>allegro</t>
  </si>
  <si>
    <t xml:space="preserve">legendarios </t>
  </si>
  <si>
    <t>rpc unfront</t>
  </si>
  <si>
    <t>paloma</t>
  </si>
  <si>
    <t>co9ffe boticario</t>
  </si>
  <si>
    <t>you do</t>
  </si>
  <si>
    <t xml:space="preserve">pre evento viva </t>
  </si>
  <si>
    <t>expotrade</t>
  </si>
  <si>
    <t>d</t>
  </si>
  <si>
    <t>cbo</t>
  </si>
  <si>
    <t>cbo 2025</t>
  </si>
  <si>
    <t xml:space="preserve">pre evento dto yepg </t>
  </si>
  <si>
    <t>Camarim biili idol</t>
  </si>
  <si>
    <t>arena da baixada</t>
  </si>
  <si>
    <t xml:space="preserve">mirante dos campos </t>
  </si>
  <si>
    <t xml:space="preserve">odonto uepg </t>
  </si>
  <si>
    <t xml:space="preserve">viva pre evento </t>
  </si>
  <si>
    <t>santa felicidade</t>
  </si>
  <si>
    <t>pre evento viva</t>
  </si>
  <si>
    <t xml:space="preserve">pre evento 100 dias yz </t>
  </si>
  <si>
    <t xml:space="preserve">mansão solar </t>
  </si>
  <si>
    <t xml:space="preserve">camarim historias </t>
  </si>
  <si>
    <t xml:space="preserve">yz </t>
  </si>
  <si>
    <t xml:space="preserve">pre evento yz </t>
  </si>
  <si>
    <t xml:space="preserve">coffe med fp </t>
  </si>
  <si>
    <t>centro universitario</t>
  </si>
  <si>
    <t xml:space="preserve">chacara santa felicidade </t>
  </si>
  <si>
    <t xml:space="preserve">pre evento civa </t>
  </si>
  <si>
    <t>vivo</t>
  </si>
  <si>
    <t>vivo empresas</t>
  </si>
  <si>
    <t>torriton festa final de ano</t>
  </si>
  <si>
    <t xml:space="preserve">festa </t>
  </si>
  <si>
    <t xml:space="preserve">bar de brigadeiros </t>
  </si>
  <si>
    <t>sem comercial</t>
  </si>
  <si>
    <t xml:space="preserve">bar de brigadeiros agapé </t>
  </si>
  <si>
    <t xml:space="preserve">dom antonio </t>
  </si>
  <si>
    <t>AMATRA VICENTE MACHADO</t>
  </si>
  <si>
    <t>escola judicial amatra</t>
  </si>
  <si>
    <t>festa final de ano amatra</t>
  </si>
  <si>
    <t>J malucelli</t>
  </si>
  <si>
    <t>malucelli</t>
  </si>
  <si>
    <t>bar de brigadeiros medianeira</t>
  </si>
  <si>
    <t>palacio iguaçu</t>
  </si>
  <si>
    <t>palacio iguaçu weslwey</t>
  </si>
  <si>
    <t>claro coffe</t>
  </si>
  <si>
    <t>claro</t>
  </si>
  <si>
    <t xml:space="preserve">BV VIASOFT </t>
  </si>
  <si>
    <t>FORMO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</si>
</sst>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"/>
    <numFmt numFmtId="165" formatCode="_-&quot;R$&quot;\ * #,##0.00_-;\-&quot;R$&quot;\ * #,##0.00_-;_-&quot;R$&quot;\ * &quot;-&quot;??_-;_-@"/>
    <numFmt numFmtId="166" formatCode="[$R$ -416]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rgb="FFFF0000"/>
      <name val="Calibri"/>
      <family val="2"/>
    </font>
    <font>
      <sz val="11"/>
      <name val="Calibri"/>
      <family val="2"/>
    </font>
    <font>
      <b/>
      <sz val="14"/>
      <color rgb="FF00B050"/>
      <name val="Calibri"/>
      <family val="2"/>
    </font>
    <font>
      <b/>
      <sz val="14"/>
      <color rgb="FFFF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sz val="14"/>
      <color rgb="FF00B050"/>
      <name val="Calibri"/>
      <family val="2"/>
    </font>
    <font>
      <sz val="11"/>
      <color theme="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D0CECE"/>
        <bgColor rgb="FFD0CECE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D0CECE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1">
    <xf numFmtId="0" fontId="0" fillId="0" borderId="0" xfId="0"/>
    <xf numFmtId="0" fontId="0" fillId="0" borderId="1" xfId="0" applyBorder="1"/>
    <xf numFmtId="0" fontId="4" fillId="10" borderId="0" xfId="0" applyFont="1" applyFill="1"/>
    <xf numFmtId="0" fontId="8" fillId="6" borderId="0" xfId="0" applyFont="1" applyFill="1" applyAlignment="1">
      <alignment horizontal="center" vertical="center"/>
    </xf>
    <xf numFmtId="0" fontId="4" fillId="8" borderId="0" xfId="0" applyFont="1" applyFill="1"/>
    <xf numFmtId="0" fontId="8" fillId="6" borderId="0" xfId="0" applyFont="1" applyFill="1"/>
    <xf numFmtId="0" fontId="4" fillId="5" borderId="0" xfId="0" applyFont="1" applyFill="1"/>
    <xf numFmtId="0" fontId="4" fillId="2" borderId="0" xfId="0" applyFont="1" applyFill="1"/>
    <xf numFmtId="0" fontId="4" fillId="9" borderId="0" xfId="0" applyFont="1" applyFill="1"/>
    <xf numFmtId="0" fontId="4" fillId="11" borderId="0" xfId="0" applyFont="1" applyFill="1"/>
    <xf numFmtId="44" fontId="8" fillId="4" borderId="1" xfId="1" applyFont="1" applyFill="1" applyBorder="1" applyAlignment="1">
      <alignment horizontal="center" vertical="center"/>
    </xf>
    <xf numFmtId="44" fontId="8" fillId="9" borderId="1" xfId="1" applyFont="1" applyFill="1" applyBorder="1" applyAlignment="1">
      <alignment horizontal="center" vertical="center"/>
    </xf>
    <xf numFmtId="44" fontId="8" fillId="2" borderId="1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44" fontId="8" fillId="11" borderId="1" xfId="1" applyFont="1" applyFill="1" applyBorder="1" applyAlignment="1">
      <alignment horizontal="center" vertical="center"/>
    </xf>
    <xf numFmtId="0" fontId="8" fillId="6" borderId="1" xfId="0" applyNumberFormat="1" applyFont="1" applyFill="1" applyBorder="1" applyAlignment="1">
      <alignment horizontal="center" vertical="center"/>
    </xf>
    <xf numFmtId="44" fontId="8" fillId="0" borderId="1" xfId="1" applyFont="1" applyBorder="1" applyAlignment="1">
      <alignment horizontal="center" vertical="center"/>
    </xf>
    <xf numFmtId="44" fontId="0" fillId="9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4" fontId="0" fillId="0" borderId="1" xfId="1" applyFont="1" applyBorder="1"/>
    <xf numFmtId="44" fontId="5" fillId="9" borderId="1" xfId="1" applyFont="1" applyFill="1" applyBorder="1" applyAlignment="1">
      <alignment horizontal="center" vertical="center"/>
    </xf>
    <xf numFmtId="44" fontId="5" fillId="0" borderId="1" xfId="1" applyFont="1" applyBorder="1"/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4" fontId="3" fillId="9" borderId="1" xfId="1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4" fontId="8" fillId="6" borderId="1" xfId="1" applyFont="1" applyFill="1" applyBorder="1" applyAlignment="1">
      <alignment horizontal="center" vertical="center"/>
    </xf>
    <xf numFmtId="0" fontId="10" fillId="4" borderId="1" xfId="0" applyFont="1" applyFill="1" applyBorder="1"/>
    <xf numFmtId="0" fontId="11" fillId="0" borderId="1" xfId="0" applyFont="1" applyBorder="1" applyAlignment="1">
      <alignment horizontal="center" vertical="center"/>
    </xf>
    <xf numFmtId="44" fontId="11" fillId="9" borderId="1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44" fontId="11" fillId="4" borderId="1" xfId="1" applyFont="1" applyFill="1" applyBorder="1" applyAlignment="1">
      <alignment horizontal="center" vertical="center"/>
    </xf>
    <xf numFmtId="0" fontId="10" fillId="0" borderId="0" xfId="0" applyFont="1"/>
    <xf numFmtId="0" fontId="11" fillId="0" borderId="1" xfId="0" applyFont="1" applyBorder="1"/>
    <xf numFmtId="44" fontId="11" fillId="0" borderId="1" xfId="1" applyFont="1" applyBorder="1"/>
    <xf numFmtId="44" fontId="11" fillId="9" borderId="1" xfId="1" applyFont="1" applyFill="1" applyBorder="1"/>
    <xf numFmtId="0" fontId="10" fillId="0" borderId="1" xfId="0" applyFont="1" applyBorder="1"/>
    <xf numFmtId="44" fontId="10" fillId="0" borderId="1" xfId="1" applyFont="1" applyBorder="1"/>
    <xf numFmtId="44" fontId="10" fillId="9" borderId="1" xfId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44" fontId="10" fillId="2" borderId="1" xfId="1" applyFont="1" applyFill="1" applyBorder="1" applyAlignment="1">
      <alignment horizontal="center" vertical="center"/>
    </xf>
    <xf numFmtId="0" fontId="10" fillId="6" borderId="1" xfId="0" applyFont="1" applyFill="1" applyBorder="1"/>
    <xf numFmtId="44" fontId="10" fillId="4" borderId="1" xfId="1" applyFont="1" applyFill="1" applyBorder="1" applyAlignment="1">
      <alignment horizontal="center" vertical="center"/>
    </xf>
    <xf numFmtId="44" fontId="10" fillId="11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4" fontId="10" fillId="0" borderId="1" xfId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10" fillId="0" borderId="0" xfId="0" applyFont="1" applyBorder="1" applyAlignment="1">
      <alignment horizontal="center" vertical="center"/>
    </xf>
    <xf numFmtId="44" fontId="10" fillId="9" borderId="2" xfId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44" fontId="10" fillId="11" borderId="2" xfId="1" applyFont="1" applyFill="1" applyBorder="1" applyAlignment="1">
      <alignment horizontal="center" vertical="center"/>
    </xf>
    <xf numFmtId="0" fontId="10" fillId="6" borderId="2" xfId="0" applyNumberFormat="1" applyFont="1" applyFill="1" applyBorder="1" applyAlignment="1">
      <alignment horizontal="center" vertical="center"/>
    </xf>
    <xf numFmtId="44" fontId="10" fillId="0" borderId="1" xfId="1" applyFont="1" applyFill="1" applyBorder="1" applyAlignment="1">
      <alignment horizontal="center" vertical="center"/>
    </xf>
    <xf numFmtId="44" fontId="10" fillId="0" borderId="0" xfId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5" fillId="10" borderId="1" xfId="0" applyFont="1" applyFill="1" applyBorder="1" applyAlignment="1">
      <alignment horizontal="center" vertical="center"/>
    </xf>
    <xf numFmtId="0" fontId="8" fillId="10" borderId="1" xfId="0" applyFont="1" applyFill="1" applyBorder="1"/>
    <xf numFmtId="0" fontId="8" fillId="2" borderId="1" xfId="0" applyFont="1" applyFill="1" applyBorder="1"/>
    <xf numFmtId="0" fontId="0" fillId="9" borderId="1" xfId="0" applyFont="1" applyFill="1" applyBorder="1"/>
    <xf numFmtId="0" fontId="8" fillId="5" borderId="1" xfId="0" applyFont="1" applyFill="1" applyBorder="1"/>
    <xf numFmtId="0" fontId="8" fillId="9" borderId="1" xfId="0" applyFont="1" applyFill="1" applyBorder="1"/>
    <xf numFmtId="44" fontId="8" fillId="9" borderId="1" xfId="0" applyNumberFormat="1" applyFont="1" applyFill="1" applyBorder="1" applyAlignment="1">
      <alignment horizontal="center" vertical="center"/>
    </xf>
    <xf numFmtId="44" fontId="0" fillId="0" borderId="1" xfId="1" applyFont="1" applyFill="1" applyBorder="1"/>
    <xf numFmtId="44" fontId="0" fillId="2" borderId="1" xfId="1" applyFont="1" applyFill="1" applyBorder="1"/>
    <xf numFmtId="44" fontId="5" fillId="4" borderId="1" xfId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4" fontId="2" fillId="9" borderId="1" xfId="1" applyFont="1" applyFill="1" applyBorder="1"/>
    <xf numFmtId="44" fontId="9" fillId="9" borderId="1" xfId="1" applyFont="1" applyFill="1" applyBorder="1" applyAlignment="1">
      <alignment horizontal="center" vertical="center"/>
    </xf>
    <xf numFmtId="44" fontId="2" fillId="6" borderId="1" xfId="1" applyFont="1" applyFill="1" applyBorder="1" applyAlignment="1">
      <alignment horizontal="center" vertical="center"/>
    </xf>
    <xf numFmtId="14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4" fontId="10" fillId="9" borderId="1" xfId="0" applyNumberFormat="1" applyFont="1" applyFill="1" applyBorder="1" applyAlignment="1">
      <alignment horizontal="center" vertical="center"/>
    </xf>
    <xf numFmtId="44" fontId="10" fillId="6" borderId="1" xfId="1" applyFont="1" applyFill="1" applyBorder="1" applyAlignment="1">
      <alignment horizontal="center" vertical="center"/>
    </xf>
    <xf numFmtId="0" fontId="10" fillId="6" borderId="1" xfId="1" applyNumberFormat="1" applyFont="1" applyFill="1" applyBorder="1" applyAlignment="1">
      <alignment horizontal="center" vertical="center"/>
    </xf>
    <xf numFmtId="0" fontId="10" fillId="0" borderId="0" xfId="0" applyFont="1" applyBorder="1"/>
    <xf numFmtId="44" fontId="10" fillId="9" borderId="2" xfId="0" applyNumberFormat="1" applyFont="1" applyFill="1" applyBorder="1" applyAlignment="1">
      <alignment horizontal="center" vertical="center"/>
    </xf>
    <xf numFmtId="44" fontId="10" fillId="9" borderId="1" xfId="1" applyFont="1" applyFill="1" applyBorder="1"/>
    <xf numFmtId="0" fontId="10" fillId="9" borderId="1" xfId="0" applyFont="1" applyFill="1" applyBorder="1"/>
    <xf numFmtId="44" fontId="10" fillId="0" borderId="1" xfId="1" applyFont="1" applyFill="1" applyBorder="1"/>
    <xf numFmtId="44" fontId="11" fillId="0" borderId="1" xfId="1" applyFont="1" applyFill="1" applyBorder="1"/>
    <xf numFmtId="0" fontId="11" fillId="0" borderId="1" xfId="0" applyFont="1" applyFill="1" applyBorder="1"/>
    <xf numFmtId="0" fontId="11" fillId="9" borderId="1" xfId="0" applyFont="1" applyFill="1" applyBorder="1"/>
    <xf numFmtId="44" fontId="11" fillId="9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4" fontId="11" fillId="6" borderId="1" xfId="1" applyFont="1" applyFill="1" applyBorder="1" applyAlignment="1">
      <alignment horizontal="center" vertical="center"/>
    </xf>
    <xf numFmtId="0" fontId="10" fillId="0" borderId="1" xfId="0" applyFont="1" applyFill="1" applyBorder="1"/>
    <xf numFmtId="14" fontId="11" fillId="14" borderId="1" xfId="0" applyNumberFormat="1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44" fontId="9" fillId="4" borderId="1" xfId="1" applyFont="1" applyFill="1" applyBorder="1" applyAlignment="1">
      <alignment horizontal="center" vertical="center"/>
    </xf>
    <xf numFmtId="44" fontId="2" fillId="2" borderId="1" xfId="1" applyFont="1" applyFill="1" applyBorder="1"/>
    <xf numFmtId="0" fontId="2" fillId="0" borderId="0" xfId="0" applyFont="1"/>
    <xf numFmtId="0" fontId="2" fillId="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0" fillId="12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4" fontId="10" fillId="9" borderId="1" xfId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44" fontId="10" fillId="0" borderId="2" xfId="1" applyFont="1" applyBorder="1" applyAlignment="1">
      <alignment horizontal="center" vertical="center"/>
    </xf>
    <xf numFmtId="44" fontId="10" fillId="2" borderId="2" xfId="1" applyFont="1" applyFill="1" applyBorder="1" applyAlignment="1">
      <alignment horizontal="center" vertical="center"/>
    </xf>
    <xf numFmtId="0" fontId="4" fillId="15" borderId="0" xfId="0" applyFont="1" applyFill="1"/>
    <xf numFmtId="0" fontId="4" fillId="16" borderId="0" xfId="0" applyFont="1" applyFill="1"/>
    <xf numFmtId="0" fontId="8" fillId="16" borderId="0" xfId="0" applyFont="1" applyFill="1" applyAlignment="1">
      <alignment horizontal="center"/>
    </xf>
    <xf numFmtId="44" fontId="8" fillId="16" borderId="1" xfId="1" applyFont="1" applyFill="1" applyBorder="1" applyAlignment="1">
      <alignment horizontal="center" vertical="center"/>
    </xf>
    <xf numFmtId="0" fontId="8" fillId="17" borderId="1" xfId="0" applyFont="1" applyFill="1" applyBorder="1"/>
    <xf numFmtId="0" fontId="8" fillId="16" borderId="2" xfId="0" applyFont="1" applyFill="1" applyBorder="1"/>
    <xf numFmtId="0" fontId="0" fillId="16" borderId="2" xfId="0" applyFill="1" applyBorder="1"/>
    <xf numFmtId="0" fontId="8" fillId="16" borderId="5" xfId="0" applyFont="1" applyFill="1" applyBorder="1"/>
    <xf numFmtId="0" fontId="8" fillId="0" borderId="6" xfId="0" applyFont="1" applyBorder="1" applyAlignment="1">
      <alignment horizontal="center" vertical="center"/>
    </xf>
    <xf numFmtId="44" fontId="8" fillId="4" borderId="6" xfId="0" applyNumberFormat="1" applyFon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44" fontId="0" fillId="4" borderId="1" xfId="1" applyFont="1" applyFill="1" applyBorder="1"/>
    <xf numFmtId="44" fontId="1" fillId="0" borderId="1" xfId="1" applyFont="1" applyBorder="1"/>
    <xf numFmtId="14" fontId="12" fillId="0" borderId="9" xfId="0" applyNumberFormat="1" applyFont="1" applyBorder="1"/>
    <xf numFmtId="14" fontId="12" fillId="18" borderId="9" xfId="0" applyNumberFormat="1" applyFont="1" applyFill="1" applyBorder="1"/>
    <xf numFmtId="14" fontId="13" fillId="19" borderId="9" xfId="0" applyNumberFormat="1" applyFont="1" applyFill="1" applyBorder="1"/>
    <xf numFmtId="14" fontId="12" fillId="20" borderId="9" xfId="0" applyNumberFormat="1" applyFont="1" applyFill="1" applyBorder="1"/>
    <xf numFmtId="14" fontId="14" fillId="0" borderId="10" xfId="0" applyNumberFormat="1" applyFont="1" applyBorder="1"/>
    <xf numFmtId="0" fontId="12" fillId="0" borderId="9" xfId="0" applyFont="1" applyBorder="1"/>
    <xf numFmtId="0" fontId="12" fillId="0" borderId="0" xfId="0" applyFont="1"/>
    <xf numFmtId="164" fontId="12" fillId="0" borderId="9" xfId="0" applyNumberFormat="1" applyFont="1" applyBorder="1"/>
    <xf numFmtId="164" fontId="16" fillId="0" borderId="9" xfId="0" applyNumberFormat="1" applyFont="1" applyBorder="1"/>
    <xf numFmtId="164" fontId="12" fillId="0" borderId="10" xfId="0" applyNumberFormat="1" applyFont="1" applyBorder="1"/>
    <xf numFmtId="14" fontId="17" fillId="20" borderId="9" xfId="0" applyNumberFormat="1" applyFont="1" applyFill="1" applyBorder="1"/>
    <xf numFmtId="14" fontId="12" fillId="0" borderId="10" xfId="0" applyNumberFormat="1" applyFont="1" applyBorder="1"/>
    <xf numFmtId="164" fontId="13" fillId="0" borderId="9" xfId="0" applyNumberFormat="1" applyFont="1" applyBorder="1"/>
    <xf numFmtId="164" fontId="18" fillId="0" borderId="9" xfId="0" applyNumberFormat="1" applyFont="1" applyBorder="1"/>
    <xf numFmtId="164" fontId="19" fillId="0" borderId="10" xfId="0" applyNumberFormat="1" applyFont="1" applyBorder="1"/>
    <xf numFmtId="0" fontId="12" fillId="21" borderId="9" xfId="0" applyFont="1" applyFill="1" applyBorder="1"/>
    <xf numFmtId="164" fontId="12" fillId="21" borderId="9" xfId="0" applyNumberFormat="1" applyFont="1" applyFill="1" applyBorder="1"/>
    <xf numFmtId="9" fontId="12" fillId="21" borderId="9" xfId="0" applyNumberFormat="1" applyFont="1" applyFill="1" applyBorder="1"/>
    <xf numFmtId="164" fontId="12" fillId="0" borderId="0" xfId="0" applyNumberFormat="1" applyFont="1"/>
    <xf numFmtId="165" fontId="12" fillId="0" borderId="0" xfId="0" applyNumberFormat="1" applyFont="1"/>
    <xf numFmtId="0" fontId="18" fillId="21" borderId="16" xfId="0" applyFont="1" applyFill="1" applyBorder="1"/>
    <xf numFmtId="0" fontId="18" fillId="0" borderId="0" xfId="0" applyFont="1"/>
    <xf numFmtId="9" fontId="18" fillId="21" borderId="16" xfId="0" applyNumberFormat="1" applyFont="1" applyFill="1" applyBorder="1"/>
    <xf numFmtId="14" fontId="17" fillId="0" borderId="9" xfId="0" applyNumberFormat="1" applyFont="1" applyBorder="1"/>
    <xf numFmtId="164" fontId="17" fillId="0" borderId="9" xfId="0" applyNumberFormat="1" applyFont="1" applyBorder="1" applyAlignment="1">
      <alignment horizontal="center"/>
    </xf>
    <xf numFmtId="0" fontId="18" fillId="24" borderId="9" xfId="0" applyFont="1" applyFill="1" applyBorder="1"/>
    <xf numFmtId="0" fontId="18" fillId="24" borderId="10" xfId="0" applyFont="1" applyFill="1" applyBorder="1"/>
    <xf numFmtId="0" fontId="12" fillId="25" borderId="9" xfId="0" applyFont="1" applyFill="1" applyBorder="1"/>
    <xf numFmtId="164" fontId="18" fillId="24" borderId="9" xfId="0" applyNumberFormat="1" applyFont="1" applyFill="1" applyBorder="1"/>
    <xf numFmtId="9" fontId="18" fillId="24" borderId="10" xfId="0" applyNumberFormat="1" applyFont="1" applyFill="1" applyBorder="1"/>
    <xf numFmtId="0" fontId="12" fillId="0" borderId="9" xfId="0" applyFont="1" applyBorder="1" applyAlignment="1"/>
    <xf numFmtId="0" fontId="13" fillId="0" borderId="9" xfId="0" applyFont="1" applyBorder="1"/>
    <xf numFmtId="166" fontId="21" fillId="0" borderId="9" xfId="0" applyNumberFormat="1" applyFont="1" applyBorder="1"/>
    <xf numFmtId="164" fontId="21" fillId="0" borderId="9" xfId="0" applyNumberFormat="1" applyFont="1" applyBorder="1"/>
    <xf numFmtId="166" fontId="21" fillId="0" borderId="9" xfId="0" applyNumberFormat="1" applyFont="1" applyBorder="1" applyAlignment="1"/>
    <xf numFmtId="0" fontId="13" fillId="0" borderId="9" xfId="0" applyFont="1" applyBorder="1" applyAlignment="1"/>
    <xf numFmtId="166" fontId="12" fillId="0" borderId="0" xfId="0" applyNumberFormat="1" applyFont="1"/>
    <xf numFmtId="0" fontId="21" fillId="0" borderId="9" xfId="0" applyFont="1" applyBorder="1"/>
    <xf numFmtId="164" fontId="22" fillId="0" borderId="9" xfId="0" applyNumberFormat="1" applyFont="1" applyBorder="1"/>
    <xf numFmtId="164" fontId="18" fillId="0" borderId="10" xfId="0" applyNumberFormat="1" applyFont="1" applyBorder="1"/>
    <xf numFmtId="165" fontId="22" fillId="0" borderId="0" xfId="0" applyNumberFormat="1" applyFont="1"/>
    <xf numFmtId="14" fontId="12" fillId="18" borderId="8" xfId="0" applyNumberFormat="1" applyFont="1" applyFill="1" applyBorder="1"/>
    <xf numFmtId="14" fontId="13" fillId="19" borderId="8" xfId="0" applyNumberFormat="1" applyFont="1" applyFill="1" applyBorder="1"/>
    <xf numFmtId="0" fontId="12" fillId="0" borderId="1" xfId="0" applyFont="1" applyBorder="1"/>
    <xf numFmtId="14" fontId="12" fillId="26" borderId="9" xfId="0" applyNumberFormat="1" applyFont="1" applyFill="1" applyBorder="1"/>
    <xf numFmtId="44" fontId="1" fillId="0" borderId="2" xfId="1" applyFont="1" applyBorder="1" applyAlignment="1">
      <alignment horizontal="center" vertical="center"/>
    </xf>
    <xf numFmtId="44" fontId="1" fillId="0" borderId="1" xfId="1" applyFont="1" applyBorder="1" applyAlignment="1">
      <alignment horizontal="center" vertical="center"/>
    </xf>
    <xf numFmtId="44" fontId="1" fillId="6" borderId="1" xfId="1" applyFont="1" applyFill="1" applyBorder="1" applyAlignment="1">
      <alignment horizontal="center" vertical="center"/>
    </xf>
    <xf numFmtId="44" fontId="8" fillId="0" borderId="1" xfId="1" applyFont="1" applyBorder="1"/>
    <xf numFmtId="0" fontId="0" fillId="0" borderId="0" xfId="0" applyFont="1"/>
    <xf numFmtId="0" fontId="0" fillId="0" borderId="1" xfId="0" applyFont="1" applyBorder="1"/>
    <xf numFmtId="0" fontId="4" fillId="7" borderId="1" xfId="0" applyFont="1" applyFill="1" applyBorder="1" applyAlignment="1">
      <alignment horizontal="center" vertical="center"/>
    </xf>
    <xf numFmtId="44" fontId="4" fillId="8" borderId="3" xfId="1" applyFont="1" applyFill="1" applyBorder="1" applyAlignment="1">
      <alignment horizontal="center" vertical="center"/>
    </xf>
    <xf numFmtId="44" fontId="4" fillId="8" borderId="0" xfId="1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0" fillId="2" borderId="0" xfId="0" applyFont="1" applyFill="1"/>
    <xf numFmtId="0" fontId="0" fillId="9" borderId="0" xfId="0" applyFont="1" applyFill="1"/>
    <xf numFmtId="14" fontId="10" fillId="12" borderId="0" xfId="0" applyNumberFormat="1" applyFont="1" applyFill="1" applyBorder="1" applyAlignment="1">
      <alignment horizontal="center" vertical="center"/>
    </xf>
    <xf numFmtId="14" fontId="10" fillId="6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4" fontId="8" fillId="6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/>
    <xf numFmtId="44" fontId="1" fillId="2" borderId="1" xfId="1" applyFont="1" applyFill="1" applyBorder="1" applyAlignment="1">
      <alignment horizontal="center" vertical="center"/>
    </xf>
    <xf numFmtId="44" fontId="1" fillId="11" borderId="1" xfId="1" applyFont="1" applyFill="1" applyBorder="1" applyAlignment="1">
      <alignment horizontal="center" vertical="center"/>
    </xf>
    <xf numFmtId="0" fontId="8" fillId="6" borderId="1" xfId="0" applyFont="1" applyFill="1" applyBorder="1"/>
    <xf numFmtId="44" fontId="8" fillId="9" borderId="1" xfId="1" applyFont="1" applyFill="1" applyBorder="1"/>
    <xf numFmtId="44" fontId="10" fillId="11" borderId="1" xfId="1" applyFont="1" applyFill="1" applyBorder="1"/>
    <xf numFmtId="14" fontId="8" fillId="12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44" fontId="1" fillId="9" borderId="1" xfId="1" applyFont="1" applyFill="1" applyBorder="1" applyAlignment="1">
      <alignment horizontal="center" vertical="center"/>
    </xf>
    <xf numFmtId="0" fontId="0" fillId="6" borderId="1" xfId="0" applyFont="1" applyFill="1" applyBorder="1"/>
    <xf numFmtId="44" fontId="2" fillId="11" borderId="1" xfId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0" xfId="0" applyFont="1" applyBorder="1"/>
    <xf numFmtId="0" fontId="0" fillId="6" borderId="2" xfId="0" applyFont="1" applyFill="1" applyBorder="1"/>
    <xf numFmtId="44" fontId="8" fillId="4" borderId="17" xfId="1" applyFont="1" applyFill="1" applyBorder="1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0" fontId="10" fillId="0" borderId="6" xfId="0" applyFont="1" applyBorder="1"/>
    <xf numFmtId="44" fontId="10" fillId="16" borderId="1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44" fontId="10" fillId="0" borderId="1" xfId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10" fillId="12" borderId="2" xfId="0" applyNumberFormat="1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0" borderId="2" xfId="0" applyFont="1" applyBorder="1"/>
    <xf numFmtId="0" fontId="10" fillId="6" borderId="2" xfId="0" applyFont="1" applyFill="1" applyBorder="1"/>
    <xf numFmtId="44" fontId="10" fillId="9" borderId="2" xfId="1" applyFont="1" applyFill="1" applyBorder="1"/>
    <xf numFmtId="44" fontId="10" fillId="0" borderId="2" xfId="1" applyFont="1" applyBorder="1"/>
    <xf numFmtId="0" fontId="10" fillId="0" borderId="7" xfId="0" applyFont="1" applyBorder="1"/>
    <xf numFmtId="14" fontId="0" fillId="0" borderId="1" xfId="0" applyNumberFormat="1" applyFont="1" applyBorder="1"/>
    <xf numFmtId="44" fontId="0" fillId="0" borderId="1" xfId="1" applyFont="1" applyFill="1" applyBorder="1" applyAlignment="1">
      <alignment horizontal="center" vertical="center"/>
    </xf>
    <xf numFmtId="44" fontId="1" fillId="0" borderId="1" xfId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/>
    <xf numFmtId="14" fontId="10" fillId="0" borderId="1" xfId="0" applyNumberFormat="1" applyFont="1" applyBorder="1"/>
    <xf numFmtId="0" fontId="0" fillId="0" borderId="1" xfId="0" applyNumberFormat="1" applyFont="1" applyBorder="1"/>
    <xf numFmtId="44" fontId="8" fillId="4" borderId="0" xfId="1" applyFont="1" applyFill="1" applyBorder="1" applyAlignment="1">
      <alignment horizontal="center" vertical="center"/>
    </xf>
    <xf numFmtId="44" fontId="10" fillId="4" borderId="17" xfId="1" applyFont="1" applyFill="1" applyBorder="1" applyAlignment="1">
      <alignment horizontal="center" vertical="center"/>
    </xf>
    <xf numFmtId="44" fontId="8" fillId="16" borderId="0" xfId="1" applyFont="1" applyFill="1" applyBorder="1" applyAlignment="1">
      <alignment horizontal="center" vertical="center"/>
    </xf>
    <xf numFmtId="44" fontId="10" fillId="0" borderId="1" xfId="0" applyNumberFormat="1" applyFont="1" applyBorder="1"/>
    <xf numFmtId="44" fontId="10" fillId="4" borderId="0" xfId="1" applyFont="1" applyFill="1" applyBorder="1" applyAlignment="1">
      <alignment horizontal="center" vertical="center"/>
    </xf>
    <xf numFmtId="44" fontId="10" fillId="16" borderId="0" xfId="1" applyFont="1" applyFill="1" applyBorder="1" applyAlignment="1">
      <alignment horizontal="center" vertical="center"/>
    </xf>
    <xf numFmtId="0" fontId="10" fillId="4" borderId="0" xfId="0" applyFont="1" applyFill="1"/>
    <xf numFmtId="0" fontId="0" fillId="6" borderId="0" xfId="0" applyFill="1"/>
    <xf numFmtId="0" fontId="10" fillId="4" borderId="6" xfId="0" applyFont="1" applyFill="1" applyBorder="1"/>
    <xf numFmtId="0" fontId="10" fillId="4" borderId="18" xfId="0" applyFont="1" applyFill="1" applyBorder="1"/>
    <xf numFmtId="14" fontId="2" fillId="12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4" fontId="8" fillId="9" borderId="2" xfId="1" applyFont="1" applyFill="1" applyBorder="1" applyAlignment="1">
      <alignment horizontal="center" vertical="center"/>
    </xf>
    <xf numFmtId="44" fontId="1" fillId="9" borderId="2" xfId="1" applyFont="1" applyFill="1" applyBorder="1" applyAlignment="1">
      <alignment horizontal="center" vertical="center"/>
    </xf>
    <xf numFmtId="44" fontId="1" fillId="2" borderId="2" xfId="1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44" fontId="8" fillId="0" borderId="2" xfId="1" applyFont="1" applyBorder="1"/>
    <xf numFmtId="44" fontId="8" fillId="2" borderId="2" xfId="1" applyFont="1" applyFill="1" applyBorder="1" applyAlignment="1">
      <alignment horizontal="center" vertical="center"/>
    </xf>
    <xf numFmtId="44" fontId="8" fillId="11" borderId="2" xfId="1" applyFont="1" applyFill="1" applyBorder="1" applyAlignment="1">
      <alignment horizontal="center" vertical="center"/>
    </xf>
    <xf numFmtId="44" fontId="1" fillId="11" borderId="2" xfId="1" applyFont="1" applyFill="1" applyBorder="1" applyAlignment="1">
      <alignment horizontal="center" vertical="center"/>
    </xf>
    <xf numFmtId="0" fontId="0" fillId="0" borderId="1" xfId="0" applyFont="1" applyFill="1" applyBorder="1"/>
    <xf numFmtId="0" fontId="10" fillId="0" borderId="2" xfId="0" applyFont="1" applyBorder="1" applyAlignment="1">
      <alignment horizontal="center" vertical="center"/>
    </xf>
    <xf numFmtId="44" fontId="2" fillId="9" borderId="1" xfId="1" applyFont="1" applyFill="1" applyBorder="1" applyAlignment="1">
      <alignment horizontal="center" vertical="center"/>
    </xf>
    <xf numFmtId="44" fontId="8" fillId="4" borderId="2" xfId="1" applyFont="1" applyFill="1" applyBorder="1" applyAlignment="1">
      <alignment horizontal="center" vertical="center"/>
    </xf>
    <xf numFmtId="44" fontId="8" fillId="0" borderId="2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4" fontId="23" fillId="9" borderId="1" xfId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44" fontId="23" fillId="2" borderId="1" xfId="1" applyFont="1" applyFill="1" applyBorder="1"/>
    <xf numFmtId="44" fontId="23" fillId="9" borderId="1" xfId="0" applyNumberFormat="1" applyFont="1" applyFill="1" applyBorder="1" applyAlignment="1">
      <alignment horizontal="center" vertical="center"/>
    </xf>
    <xf numFmtId="0" fontId="23" fillId="6" borderId="1" xfId="0" applyNumberFormat="1" applyFont="1" applyFill="1" applyBorder="1" applyAlignment="1">
      <alignment horizontal="center" vertical="center"/>
    </xf>
    <xf numFmtId="14" fontId="24" fillId="13" borderId="1" xfId="0" applyNumberFormat="1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44" fontId="25" fillId="0" borderId="1" xfId="1" applyFont="1" applyBorder="1" applyAlignment="1">
      <alignment horizontal="center" vertical="center"/>
    </xf>
    <xf numFmtId="44" fontId="25" fillId="2" borderId="1" xfId="1" applyFont="1" applyFill="1" applyBorder="1" applyAlignment="1">
      <alignment horizontal="center" vertical="center"/>
    </xf>
    <xf numFmtId="44" fontId="25" fillId="9" borderId="1" xfId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44" fontId="25" fillId="4" borderId="1" xfId="1" applyFont="1" applyFill="1" applyBorder="1" applyAlignment="1">
      <alignment horizontal="center" vertical="center"/>
    </xf>
    <xf numFmtId="44" fontId="25" fillId="6" borderId="1" xfId="1" applyFont="1" applyFill="1" applyBorder="1" applyAlignment="1">
      <alignment horizontal="center" vertical="center"/>
    </xf>
    <xf numFmtId="0" fontId="25" fillId="4" borderId="1" xfId="0" applyFont="1" applyFill="1" applyBorder="1"/>
    <xf numFmtId="44" fontId="25" fillId="4" borderId="1" xfId="1" applyFont="1" applyFill="1" applyBorder="1"/>
    <xf numFmtId="14" fontId="24" fillId="14" borderId="1" xfId="0" applyNumberFormat="1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14" fontId="25" fillId="14" borderId="1" xfId="0" applyNumberFormat="1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14" fontId="24" fillId="3" borderId="1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14" fontId="24" fillId="14" borderId="2" xfId="0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14" fontId="24" fillId="3" borderId="0" xfId="0" applyNumberFormat="1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17" fontId="24" fillId="14" borderId="1" xfId="0" applyNumberFormat="1" applyFont="1" applyFill="1" applyBorder="1" applyAlignment="1">
      <alignment horizontal="center" vertical="center"/>
    </xf>
    <xf numFmtId="16" fontId="24" fillId="14" borderId="1" xfId="0" applyNumberFormat="1" applyFont="1" applyFill="1" applyBorder="1" applyAlignment="1">
      <alignment horizontal="center" vertical="center"/>
    </xf>
    <xf numFmtId="14" fontId="25" fillId="3" borderId="1" xfId="0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11" fillId="0" borderId="2" xfId="0" applyFont="1" applyBorder="1"/>
    <xf numFmtId="44" fontId="11" fillId="0" borderId="2" xfId="1" applyFont="1" applyBorder="1"/>
    <xf numFmtId="0" fontId="11" fillId="6" borderId="2" xfId="0" applyFont="1" applyFill="1" applyBorder="1" applyAlignment="1">
      <alignment horizontal="center" vertical="center"/>
    </xf>
    <xf numFmtId="0" fontId="10" fillId="0" borderId="2" xfId="0" applyFont="1" applyFill="1" applyBorder="1"/>
    <xf numFmtId="44" fontId="11" fillId="4" borderId="2" xfId="1" applyFont="1" applyFill="1" applyBorder="1" applyAlignment="1">
      <alignment horizontal="center" vertical="center"/>
    </xf>
    <xf numFmtId="44" fontId="0" fillId="2" borderId="2" xfId="1" applyFont="1" applyFill="1" applyBorder="1"/>
    <xf numFmtId="44" fontId="11" fillId="9" borderId="2" xfId="1" applyFont="1" applyFill="1" applyBorder="1"/>
    <xf numFmtId="44" fontId="11" fillId="9" borderId="2" xfId="1" applyFont="1" applyFill="1" applyBorder="1" applyAlignment="1">
      <alignment horizontal="center" vertical="center"/>
    </xf>
    <xf numFmtId="44" fontId="0" fillId="0" borderId="2" xfId="1" applyFont="1" applyBorder="1"/>
    <xf numFmtId="0" fontId="0" fillId="0" borderId="4" xfId="0" applyBorder="1"/>
    <xf numFmtId="44" fontId="8" fillId="2" borderId="4" xfId="1" applyFont="1" applyFill="1" applyBorder="1" applyAlignment="1">
      <alignment horizontal="center" vertical="center"/>
    </xf>
    <xf numFmtId="44" fontId="2" fillId="9" borderId="4" xfId="1" applyFont="1" applyFill="1" applyBorder="1"/>
    <xf numFmtId="44" fontId="10" fillId="9" borderId="4" xfId="1" applyFont="1" applyFill="1" applyBorder="1"/>
    <xf numFmtId="0" fontId="0" fillId="6" borderId="4" xfId="0" applyFill="1" applyBorder="1"/>
    <xf numFmtId="14" fontId="10" fillId="4" borderId="1" xfId="0" applyNumberFormat="1" applyFont="1" applyFill="1" applyBorder="1" applyAlignment="1">
      <alignment horizontal="center" vertical="center"/>
    </xf>
    <xf numFmtId="44" fontId="11" fillId="0" borderId="1" xfId="1" applyFont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4" fontId="11" fillId="0" borderId="1" xfId="1" applyFont="1" applyFill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4" fontId="9" fillId="0" borderId="1" xfId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44" fontId="8" fillId="6" borderId="2" xfId="1" applyFont="1" applyFill="1" applyBorder="1" applyAlignment="1">
      <alignment horizontal="center" vertical="center"/>
    </xf>
    <xf numFmtId="14" fontId="24" fillId="14" borderId="4" xfId="0" applyNumberFormat="1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10" fillId="0" borderId="4" xfId="0" applyFont="1" applyBorder="1"/>
    <xf numFmtId="44" fontId="10" fillId="0" borderId="4" xfId="1" applyFont="1" applyBorder="1"/>
    <xf numFmtId="44" fontId="10" fillId="9" borderId="4" xfId="1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44" fontId="0" fillId="2" borderId="4" xfId="1" applyFont="1" applyFill="1" applyBorder="1"/>
    <xf numFmtId="44" fontId="10" fillId="9" borderId="4" xfId="0" applyNumberFormat="1" applyFont="1" applyFill="1" applyBorder="1" applyAlignment="1">
      <alignment horizontal="center" vertical="center"/>
    </xf>
    <xf numFmtId="44" fontId="8" fillId="4" borderId="4" xfId="1" applyFont="1" applyFill="1" applyBorder="1" applyAlignment="1">
      <alignment horizontal="center" vertical="center"/>
    </xf>
    <xf numFmtId="44" fontId="8" fillId="0" borderId="4" xfId="1" applyFont="1" applyBorder="1" applyAlignment="1">
      <alignment horizontal="center" vertical="center"/>
    </xf>
    <xf numFmtId="44" fontId="0" fillId="0" borderId="4" xfId="1" applyFont="1" applyBorder="1"/>
    <xf numFmtId="0" fontId="26" fillId="14" borderId="2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4" xfId="0" applyFont="1" applyFill="1" applyBorder="1" applyAlignment="1">
      <alignment horizontal="center" vertical="center"/>
    </xf>
    <xf numFmtId="44" fontId="0" fillId="6" borderId="1" xfId="1" applyFont="1" applyFill="1" applyBorder="1" applyAlignment="1">
      <alignment horizontal="center" vertical="center"/>
    </xf>
    <xf numFmtId="0" fontId="18" fillId="24" borderId="10" xfId="0" applyFont="1" applyFill="1" applyBorder="1" applyAlignment="1">
      <alignment horizontal="center"/>
    </xf>
    <xf numFmtId="0" fontId="15" fillId="0" borderId="14" xfId="0" applyFont="1" applyBorder="1"/>
    <xf numFmtId="0" fontId="15" fillId="0" borderId="15" xfId="0" applyFont="1" applyBorder="1"/>
    <xf numFmtId="164" fontId="18" fillId="24" borderId="10" xfId="0" applyNumberFormat="1" applyFont="1" applyFill="1" applyBorder="1" applyAlignment="1">
      <alignment horizontal="center"/>
    </xf>
    <xf numFmtId="164" fontId="17" fillId="22" borderId="10" xfId="0" applyNumberFormat="1" applyFont="1" applyFill="1" applyBorder="1" applyAlignment="1">
      <alignment horizontal="center"/>
    </xf>
    <xf numFmtId="164" fontId="20" fillId="23" borderId="10" xfId="0" applyNumberFormat="1" applyFont="1" applyFill="1" applyBorder="1" applyAlignment="1">
      <alignment horizontal="center"/>
    </xf>
    <xf numFmtId="0" fontId="18" fillId="0" borderId="8" xfId="0" applyFont="1" applyBorder="1" applyAlignment="1">
      <alignment horizontal="center" vertical="center"/>
    </xf>
    <xf numFmtId="0" fontId="15" fillId="0" borderId="11" xfId="0" applyFont="1" applyBorder="1"/>
    <xf numFmtId="0" fontId="15" fillId="0" borderId="12" xfId="0" applyFont="1" applyBorder="1"/>
    <xf numFmtId="0" fontId="18" fillId="21" borderId="14" xfId="0" applyFont="1" applyFill="1" applyBorder="1" applyAlignment="1">
      <alignment horizontal="center"/>
    </xf>
    <xf numFmtId="0" fontId="18" fillId="21" borderId="10" xfId="0" applyFont="1" applyFill="1" applyBorder="1" applyAlignment="1">
      <alignment horizontal="center"/>
    </xf>
    <xf numFmtId="0" fontId="12" fillId="21" borderId="13" xfId="0" applyFont="1" applyFill="1" applyBorder="1" applyAlignment="1">
      <alignment horizontal="center"/>
    </xf>
    <xf numFmtId="0" fontId="15" fillId="0" borderId="13" xfId="0" applyFont="1" applyBorder="1"/>
    <xf numFmtId="0" fontId="12" fillId="21" borderId="10" xfId="0" applyFont="1" applyFill="1" applyBorder="1" applyAlignment="1">
      <alignment horizontal="center"/>
    </xf>
    <xf numFmtId="164" fontId="12" fillId="21" borderId="10" xfId="0" applyNumberFormat="1" applyFont="1" applyFill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2" fillId="21" borderId="14" xfId="0" applyFont="1" applyFill="1" applyBorder="1" applyAlignment="1">
      <alignment horizontal="center"/>
    </xf>
    <xf numFmtId="14" fontId="10" fillId="6" borderId="4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12" borderId="0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44" fontId="10" fillId="0" borderId="2" xfId="1" applyFont="1" applyBorder="1" applyAlignment="1">
      <alignment horizontal="center"/>
    </xf>
    <xf numFmtId="44" fontId="2" fillId="9" borderId="2" xfId="1" applyFont="1" applyFill="1" applyBorder="1" applyAlignment="1">
      <alignment horizontal="center" vertical="center"/>
    </xf>
    <xf numFmtId="44" fontId="10" fillId="9" borderId="2" xfId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44" fontId="10" fillId="0" borderId="0" xfId="1" applyFont="1" applyBorder="1"/>
    <xf numFmtId="0" fontId="10" fillId="0" borderId="2" xfId="0" applyFont="1" applyBorder="1" applyAlignment="1">
      <alignment horizontal="center"/>
    </xf>
    <xf numFmtId="44" fontId="2" fillId="9" borderId="2" xfId="1" applyFont="1" applyFill="1" applyBorder="1"/>
    <xf numFmtId="44" fontId="2" fillId="11" borderId="2" xfId="1" applyFont="1" applyFill="1" applyBorder="1" applyAlignment="1">
      <alignment horizontal="center" vertical="center"/>
    </xf>
    <xf numFmtId="44" fontId="10" fillId="11" borderId="2" xfId="1" applyFont="1" applyFill="1" applyBorder="1" applyAlignment="1">
      <alignment horizontal="center"/>
    </xf>
    <xf numFmtId="44" fontId="1" fillId="0" borderId="0" xfId="1" applyFont="1" applyBorder="1"/>
    <xf numFmtId="0" fontId="10" fillId="0" borderId="17" xfId="0" applyFont="1" applyBorder="1"/>
    <xf numFmtId="0" fontId="0" fillId="0" borderId="17" xfId="0" applyFont="1" applyBorder="1"/>
    <xf numFmtId="0" fontId="8" fillId="0" borderId="6" xfId="0" applyFont="1" applyBorder="1"/>
    <xf numFmtId="0" fontId="10" fillId="0" borderId="6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48">
    <dxf>
      <font>
        <color rgb="FFFFFFFF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594F-B60C-4C89-8EBE-5C32BD45F11E}">
  <dimension ref="A1:CG81"/>
  <sheetViews>
    <sheetView tabSelected="1" zoomScale="69" zoomScaleNormal="69" workbookViewId="0">
      <pane ySplit="1" topLeftCell="A39" activePane="bottomLeft" state="frozen"/>
      <selection pane="bottomLeft" activeCell="P52" sqref="P52"/>
    </sheetView>
  </sheetViews>
  <sheetFormatPr defaultColWidth="17.140625" defaultRowHeight="15" x14ac:dyDescent="0.25"/>
  <cols>
    <col min="1" max="1" width="4.42578125" style="182" customWidth="1"/>
    <col min="2" max="2" width="17.140625" style="182" customWidth="1"/>
    <col min="3" max="3" width="19.5703125" style="182" customWidth="1"/>
    <col min="4" max="4" width="13.5703125" style="182" hidden="1" customWidth="1"/>
    <col min="5" max="5" width="11.7109375" style="182" hidden="1" customWidth="1"/>
    <col min="6" max="6" width="13.5703125" style="182" hidden="1" customWidth="1"/>
    <col min="7" max="7" width="7.42578125" style="182" hidden="1" customWidth="1"/>
    <col min="8" max="8" width="7.5703125" style="182" customWidth="1"/>
    <col min="9" max="9" width="13.42578125" style="182" customWidth="1"/>
    <col min="10" max="10" width="1.85546875" style="182" customWidth="1"/>
    <col min="11" max="11" width="20.42578125" style="182" customWidth="1"/>
    <col min="12" max="27" width="17.140625" style="182" customWidth="1"/>
    <col min="28" max="28" width="17.140625" style="51" customWidth="1"/>
    <col min="29" max="56" width="17.140625" style="182" customWidth="1"/>
    <col min="57" max="57" width="29" style="182" customWidth="1"/>
    <col min="58" max="58" width="17.140625" style="182" customWidth="1"/>
    <col min="59" max="59" width="2.7109375" style="182" customWidth="1"/>
    <col min="60" max="67" width="17.140625" style="182"/>
    <col min="68" max="68" width="3.5703125" style="182" customWidth="1"/>
    <col min="69" max="85" width="17.140625" style="182"/>
  </cols>
  <sheetData>
    <row r="1" spans="1:85" x14ac:dyDescent="0.25">
      <c r="A1" s="183" t="s">
        <v>21</v>
      </c>
      <c r="B1" s="184" t="s">
        <v>22</v>
      </c>
      <c r="C1" s="184" t="s">
        <v>23</v>
      </c>
      <c r="D1" s="184" t="s">
        <v>24</v>
      </c>
      <c r="E1" s="184" t="s">
        <v>25</v>
      </c>
      <c r="F1" s="184" t="s">
        <v>26</v>
      </c>
      <c r="G1" s="184" t="s">
        <v>27</v>
      </c>
      <c r="H1" s="184" t="s">
        <v>28</v>
      </c>
      <c r="I1" s="184" t="s">
        <v>29</v>
      </c>
      <c r="K1" s="185" t="s">
        <v>30</v>
      </c>
      <c r="L1" s="185" t="s">
        <v>31</v>
      </c>
      <c r="M1" s="185" t="s">
        <v>32</v>
      </c>
      <c r="N1" s="185" t="s">
        <v>33</v>
      </c>
      <c r="O1" s="185" t="s">
        <v>34</v>
      </c>
      <c r="P1" s="185" t="s">
        <v>35</v>
      </c>
      <c r="Q1" s="185" t="s">
        <v>36</v>
      </c>
      <c r="R1" s="185" t="s">
        <v>20</v>
      </c>
      <c r="S1" s="186" t="s">
        <v>37</v>
      </c>
      <c r="T1" s="186" t="s">
        <v>38</v>
      </c>
      <c r="U1" s="186" t="s">
        <v>39</v>
      </c>
      <c r="V1" s="186" t="s">
        <v>40</v>
      </c>
      <c r="W1" s="186" t="s">
        <v>41</v>
      </c>
      <c r="X1" s="186" t="s">
        <v>42</v>
      </c>
      <c r="Y1" s="186" t="s">
        <v>43</v>
      </c>
      <c r="Z1" s="186" t="s">
        <v>44</v>
      </c>
      <c r="AA1" s="186" t="s">
        <v>45</v>
      </c>
      <c r="AB1" s="187" t="s">
        <v>46</v>
      </c>
      <c r="AC1" s="188" t="s">
        <v>162</v>
      </c>
      <c r="AD1" s="189" t="s">
        <v>47</v>
      </c>
      <c r="AE1" s="189" t="s">
        <v>48</v>
      </c>
      <c r="AF1" s="2" t="s">
        <v>49</v>
      </c>
      <c r="AG1" s="2" t="s">
        <v>43</v>
      </c>
      <c r="AH1" s="2" t="s">
        <v>50</v>
      </c>
      <c r="AI1" s="2" t="s">
        <v>45</v>
      </c>
      <c r="AJ1" s="190" t="s">
        <v>51</v>
      </c>
      <c r="AK1" s="191" t="s">
        <v>52</v>
      </c>
      <c r="AL1" s="191" t="s">
        <v>53</v>
      </c>
      <c r="AM1" s="191" t="s">
        <v>54</v>
      </c>
      <c r="AN1" s="3" t="s">
        <v>55</v>
      </c>
      <c r="AO1" s="4" t="s">
        <v>6</v>
      </c>
      <c r="AP1" s="4" t="s">
        <v>56</v>
      </c>
      <c r="AQ1" s="4" t="s">
        <v>34</v>
      </c>
      <c r="AR1" s="4" t="s">
        <v>57</v>
      </c>
      <c r="AS1" s="4" t="s">
        <v>58</v>
      </c>
      <c r="AT1" s="4" t="s">
        <v>43</v>
      </c>
      <c r="AU1" s="4" t="s">
        <v>45</v>
      </c>
      <c r="AV1" s="5" t="s">
        <v>59</v>
      </c>
      <c r="AW1" s="6" t="s">
        <v>60</v>
      </c>
      <c r="AX1" s="6" t="s">
        <v>61</v>
      </c>
      <c r="AY1" s="6" t="s">
        <v>62</v>
      </c>
      <c r="AZ1" s="6" t="s">
        <v>63</v>
      </c>
      <c r="BA1" s="6" t="s">
        <v>44</v>
      </c>
      <c r="BB1" s="7" t="s">
        <v>64</v>
      </c>
      <c r="BC1" s="8" t="s">
        <v>65</v>
      </c>
      <c r="BD1" s="9" t="s">
        <v>66</v>
      </c>
      <c r="BE1" s="9" t="s">
        <v>67</v>
      </c>
      <c r="BF1" s="5" t="s">
        <v>68</v>
      </c>
      <c r="BH1" s="120" t="s">
        <v>335</v>
      </c>
      <c r="BI1" s="120" t="s">
        <v>336</v>
      </c>
      <c r="BJ1" s="120" t="s">
        <v>337</v>
      </c>
      <c r="BK1" s="120" t="s">
        <v>338</v>
      </c>
      <c r="BL1" s="120" t="s">
        <v>339</v>
      </c>
      <c r="BM1" s="120" t="s">
        <v>340</v>
      </c>
      <c r="BN1" s="120" t="s">
        <v>341</v>
      </c>
      <c r="BO1" s="120" t="s">
        <v>342</v>
      </c>
      <c r="BQ1" s="121" t="s">
        <v>343</v>
      </c>
      <c r="BR1" s="121" t="s">
        <v>344</v>
      </c>
      <c r="BS1" s="121" t="s">
        <v>345</v>
      </c>
      <c r="BT1" s="121" t="s">
        <v>346</v>
      </c>
      <c r="BU1" s="121" t="s">
        <v>347</v>
      </c>
      <c r="BV1" s="121" t="s">
        <v>38</v>
      </c>
      <c r="BW1" s="121" t="s">
        <v>348</v>
      </c>
      <c r="BX1" s="121" t="s">
        <v>35</v>
      </c>
      <c r="BY1" s="121" t="s">
        <v>349</v>
      </c>
      <c r="BZ1" s="121" t="s">
        <v>350</v>
      </c>
      <c r="CA1" s="121" t="s">
        <v>351</v>
      </c>
      <c r="CB1" s="121" t="s">
        <v>352</v>
      </c>
      <c r="CC1" s="121" t="s">
        <v>353</v>
      </c>
      <c r="CD1" s="121" t="s">
        <v>354</v>
      </c>
      <c r="CE1" s="121" t="s">
        <v>355</v>
      </c>
      <c r="CF1" s="121" t="s">
        <v>20</v>
      </c>
      <c r="CG1" s="122" t="s">
        <v>356</v>
      </c>
    </row>
    <row r="2" spans="1:85" s="35" customFormat="1" x14ac:dyDescent="0.25">
      <c r="A2" s="30">
        <v>1</v>
      </c>
      <c r="B2" s="359">
        <v>45681</v>
      </c>
      <c r="C2" s="332" t="s">
        <v>69</v>
      </c>
      <c r="D2" s="332" t="s">
        <v>70</v>
      </c>
      <c r="E2" s="332" t="s">
        <v>71</v>
      </c>
      <c r="F2" s="332" t="s">
        <v>9</v>
      </c>
      <c r="G2" s="332" t="s">
        <v>2</v>
      </c>
      <c r="H2" s="365">
        <v>403</v>
      </c>
      <c r="I2" s="332" t="s">
        <v>5</v>
      </c>
      <c r="J2" s="60"/>
      <c r="K2" s="45">
        <v>6000</v>
      </c>
      <c r="L2" s="45">
        <v>600</v>
      </c>
      <c r="M2" s="45">
        <v>600</v>
      </c>
      <c r="N2" s="45">
        <v>4500</v>
      </c>
      <c r="O2" s="45">
        <v>1650</v>
      </c>
      <c r="P2" s="45">
        <v>0</v>
      </c>
      <c r="Q2" s="45">
        <v>0</v>
      </c>
      <c r="R2" s="45">
        <v>0</v>
      </c>
      <c r="S2" s="45"/>
      <c r="T2" s="45"/>
      <c r="U2" s="45"/>
      <c r="V2" s="45"/>
      <c r="W2" s="45"/>
      <c r="X2" s="45"/>
      <c r="Y2" s="45"/>
      <c r="Z2" s="45"/>
      <c r="AA2" s="45"/>
      <c r="AB2" s="41">
        <f>K2+L2+M2+N2+O2+P2+Q2+R2+T2</f>
        <v>13350</v>
      </c>
      <c r="AC2" s="41">
        <f>AB2+AA2+Z2+Y2+X2+V2+U2</f>
        <v>13350</v>
      </c>
      <c r="AD2" s="45">
        <v>30</v>
      </c>
      <c r="AE2" s="45">
        <v>0</v>
      </c>
      <c r="AF2" s="45">
        <v>13269.34</v>
      </c>
      <c r="AG2" s="45">
        <v>0</v>
      </c>
      <c r="AH2" s="45">
        <v>0</v>
      </c>
      <c r="AI2" s="45">
        <v>0</v>
      </c>
      <c r="AJ2" s="43">
        <f>AD2+AE2</f>
        <v>30</v>
      </c>
      <c r="AK2" s="41">
        <f>AJ2*AN2</f>
        <v>7950</v>
      </c>
      <c r="AL2" s="41">
        <f>AK2+AI2+AH2+AG2+AF2</f>
        <v>21219.34</v>
      </c>
      <c r="AM2" s="41">
        <f>AL2+AC2</f>
        <v>34569.339999999997</v>
      </c>
      <c r="AN2" s="49">
        <v>265</v>
      </c>
      <c r="AO2" s="45">
        <f>60</f>
        <v>60</v>
      </c>
      <c r="AP2" s="45">
        <v>9.9</v>
      </c>
      <c r="AQ2" s="45">
        <v>3290</v>
      </c>
      <c r="AR2" s="45">
        <v>0</v>
      </c>
      <c r="AS2" s="45">
        <v>0</v>
      </c>
      <c r="AT2" s="45">
        <v>0</v>
      </c>
      <c r="AU2" s="45">
        <v>0</v>
      </c>
      <c r="AV2" s="49">
        <v>36</v>
      </c>
      <c r="AW2" s="45">
        <v>139.9</v>
      </c>
      <c r="AX2" s="45">
        <f>AV2*AW2</f>
        <v>5036.4000000000005</v>
      </c>
      <c r="AY2" s="45">
        <v>0</v>
      </c>
      <c r="AZ2" s="45">
        <v>0</v>
      </c>
      <c r="BA2" s="45">
        <v>0</v>
      </c>
      <c r="BB2" s="12">
        <f>AO2+AP2</f>
        <v>69.900000000000006</v>
      </c>
      <c r="BC2" s="41">
        <f>(BB2+AJ2)*AN2+AQ2</f>
        <v>29763.5</v>
      </c>
      <c r="BD2" s="46">
        <f>BC2+AB2</f>
        <v>43113.5</v>
      </c>
      <c r="BE2" s="46">
        <f>(BC2+BA2+AY2+AT2)+(AI2+AH2+AC2)+AX2+AZ2+AS2+AR2+AG2+AF2</f>
        <v>61419.240000000005</v>
      </c>
      <c r="BF2" s="50">
        <f>AV2+AN2</f>
        <v>301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f>BF2*10%</f>
        <v>30.1</v>
      </c>
      <c r="BN2" s="10">
        <v>0</v>
      </c>
      <c r="BO2" s="10">
        <f>AP2*AO2</f>
        <v>594</v>
      </c>
      <c r="BP2" s="10"/>
      <c r="BQ2" s="10">
        <v>0</v>
      </c>
      <c r="BR2" s="10">
        <v>4500</v>
      </c>
      <c r="BS2" s="10">
        <v>0</v>
      </c>
      <c r="BT2" s="10">
        <f>180+160</f>
        <v>340</v>
      </c>
      <c r="BU2" s="10">
        <v>160</v>
      </c>
      <c r="BV2" s="10">
        <v>250</v>
      </c>
      <c r="BW2" s="10">
        <v>0</v>
      </c>
      <c r="BX2" s="10">
        <v>250</v>
      </c>
      <c r="BY2" s="10"/>
      <c r="BZ2" s="10">
        <v>2095.14</v>
      </c>
      <c r="CA2" s="10">
        <v>2604.87</v>
      </c>
      <c r="CB2" s="10"/>
      <c r="CC2" s="10"/>
      <c r="CD2" s="10"/>
      <c r="CE2" s="10"/>
      <c r="CF2" s="10"/>
      <c r="CG2" s="123">
        <f>SUM(BR2:CF2)</f>
        <v>10200.009999999998</v>
      </c>
    </row>
    <row r="3" spans="1:85" s="35" customFormat="1" x14ac:dyDescent="0.25">
      <c r="A3" s="30">
        <v>2</v>
      </c>
      <c r="B3" s="111">
        <v>45682</v>
      </c>
      <c r="C3" s="49" t="s">
        <v>72</v>
      </c>
      <c r="D3" s="49" t="s">
        <v>73</v>
      </c>
      <c r="E3" s="49" t="s">
        <v>74</v>
      </c>
      <c r="F3" s="49" t="s">
        <v>9</v>
      </c>
      <c r="G3" s="49" t="s">
        <v>2</v>
      </c>
      <c r="H3" s="115">
        <v>419</v>
      </c>
      <c r="I3" s="49" t="s">
        <v>5</v>
      </c>
      <c r="J3" s="60"/>
      <c r="K3" s="45">
        <v>16200</v>
      </c>
      <c r="L3" s="45">
        <v>0</v>
      </c>
      <c r="M3" s="45">
        <v>1500</v>
      </c>
      <c r="N3" s="45">
        <v>5500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/>
      <c r="Y3" s="45"/>
      <c r="Z3" s="45"/>
      <c r="AA3" s="45"/>
      <c r="AB3" s="41">
        <f>K3+L3+M3+N3+O3+P3+Q3+R3+T3</f>
        <v>23200</v>
      </c>
      <c r="AC3" s="41">
        <f>AB3+AA3+Z3+Y3+X3+V3+U3</f>
        <v>23200</v>
      </c>
      <c r="AD3" s="45">
        <v>25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12">
        <f>AD3+AE3</f>
        <v>25</v>
      </c>
      <c r="AK3" s="41">
        <f>AJ3*AN3</f>
        <v>13750</v>
      </c>
      <c r="AL3" s="41">
        <f>AK3+AI3+AH3+AG3+AF3</f>
        <v>13750</v>
      </c>
      <c r="AM3" s="41">
        <f>AL3+AC3</f>
        <v>36950</v>
      </c>
      <c r="AN3" s="49">
        <v>550</v>
      </c>
      <c r="AO3" s="45">
        <f>99+15</f>
        <v>114</v>
      </c>
      <c r="AP3" s="45">
        <v>12</v>
      </c>
      <c r="AQ3" s="45">
        <v>0</v>
      </c>
      <c r="AR3" s="45">
        <v>0</v>
      </c>
      <c r="AS3" s="45">
        <v>0</v>
      </c>
      <c r="AT3" s="45">
        <v>0</v>
      </c>
      <c r="AU3" s="45">
        <v>0</v>
      </c>
      <c r="AV3" s="49">
        <v>23</v>
      </c>
      <c r="AW3" s="45">
        <v>35</v>
      </c>
      <c r="AX3" s="45">
        <f>AV3*AW3</f>
        <v>805</v>
      </c>
      <c r="AY3" s="45">
        <v>0</v>
      </c>
      <c r="AZ3" s="45">
        <v>0</v>
      </c>
      <c r="BA3" s="45">
        <v>0</v>
      </c>
      <c r="BB3" s="12">
        <f>AO3+AP3</f>
        <v>126</v>
      </c>
      <c r="BC3" s="41">
        <f>(BB3+AJ3)*AN3+AQ3</f>
        <v>83050</v>
      </c>
      <c r="BD3" s="46">
        <f>BC3+AB3</f>
        <v>106250</v>
      </c>
      <c r="BE3" s="46">
        <f>(BC3+BA3+AY3+AT3)+(AI3+AH3+AC3)+AX3+AZ3+AS3+AR3+AG3+AF3</f>
        <v>107055</v>
      </c>
      <c r="BF3" s="50">
        <f>AV3+AN3</f>
        <v>573</v>
      </c>
      <c r="BH3" s="10">
        <v>0</v>
      </c>
      <c r="BI3" s="10">
        <v>0</v>
      </c>
      <c r="BJ3" s="10">
        <v>0</v>
      </c>
      <c r="BK3" s="10">
        <v>0</v>
      </c>
      <c r="BL3" s="10">
        <f>BE4*10%</f>
        <v>9403.0690000000013</v>
      </c>
      <c r="BM3" s="10">
        <v>0</v>
      </c>
      <c r="BN3" s="10">
        <v>0</v>
      </c>
      <c r="BO3" s="10">
        <f>AP3*AO3</f>
        <v>1368</v>
      </c>
      <c r="BP3" s="10"/>
      <c r="BQ3" s="10">
        <v>709</v>
      </c>
      <c r="BR3" s="10">
        <v>5450</v>
      </c>
      <c r="BS3" s="10">
        <v>0</v>
      </c>
      <c r="BT3" s="10"/>
      <c r="BU3" s="10">
        <v>0</v>
      </c>
      <c r="BV3" s="10">
        <v>250</v>
      </c>
      <c r="BW3" s="10">
        <v>0</v>
      </c>
      <c r="BX3" s="10">
        <v>400</v>
      </c>
      <c r="BY3" s="10"/>
      <c r="BZ3" s="10">
        <v>3849.04</v>
      </c>
      <c r="CA3" s="10">
        <v>4571.24</v>
      </c>
      <c r="CB3" s="10"/>
      <c r="CC3" s="10"/>
      <c r="CD3" s="10"/>
      <c r="CE3" s="10"/>
      <c r="CF3" s="10"/>
      <c r="CG3" s="123">
        <f>SUM(BR3:CF3)</f>
        <v>14520.28</v>
      </c>
    </row>
    <row r="4" spans="1:85" s="35" customFormat="1" x14ac:dyDescent="0.25">
      <c r="A4" s="30">
        <v>3</v>
      </c>
      <c r="B4" s="112">
        <v>45708</v>
      </c>
      <c r="C4" s="110" t="s">
        <v>75</v>
      </c>
      <c r="D4" s="110" t="s">
        <v>76</v>
      </c>
      <c r="E4" s="49" t="s">
        <v>74</v>
      </c>
      <c r="F4" s="110" t="s">
        <v>77</v>
      </c>
      <c r="G4" s="110" t="s">
        <v>2</v>
      </c>
      <c r="H4" s="59">
        <v>583</v>
      </c>
      <c r="I4" s="110" t="s">
        <v>5</v>
      </c>
      <c r="J4" s="52"/>
      <c r="K4" s="48">
        <v>15445.7</v>
      </c>
      <c r="L4" s="48">
        <v>1800</v>
      </c>
      <c r="M4" s="57">
        <v>1800</v>
      </c>
      <c r="N4" s="48">
        <f>6460+1960</f>
        <v>8420</v>
      </c>
      <c r="O4" s="48">
        <v>2970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5070.8500000000004</v>
      </c>
      <c r="AA4" s="48">
        <v>0</v>
      </c>
      <c r="AB4" s="41">
        <f>K4+L4+M6+N4+O4+P4+Q4+R4+T4</f>
        <v>31510.7</v>
      </c>
      <c r="AC4" s="41">
        <f>AB4+AA4+Z4+Y4+X4+V4+U4-2554.3</f>
        <v>34027.25</v>
      </c>
      <c r="AD4" s="48">
        <v>27</v>
      </c>
      <c r="AE4" s="48"/>
      <c r="AF4" s="48">
        <v>0</v>
      </c>
      <c r="AG4" s="48">
        <v>0</v>
      </c>
      <c r="AH4" s="48">
        <v>0</v>
      </c>
      <c r="AI4" s="48">
        <f>4400+2400</f>
        <v>6800</v>
      </c>
      <c r="AJ4" s="12">
        <f>AD4+AE4</f>
        <v>27</v>
      </c>
      <c r="AK4" s="41">
        <f>AJ4*AN4</f>
        <v>5400</v>
      </c>
      <c r="AL4" s="41">
        <f>AK4+AI4+AH4+AG4+AF4</f>
        <v>12200</v>
      </c>
      <c r="AM4" s="41">
        <f>AL4+AC4</f>
        <v>46227.25</v>
      </c>
      <c r="AN4" s="49">
        <v>200</v>
      </c>
      <c r="AO4" s="48">
        <v>150</v>
      </c>
      <c r="AP4" s="48">
        <v>15</v>
      </c>
      <c r="AQ4" s="48">
        <v>4530</v>
      </c>
      <c r="AR4" s="48">
        <v>0</v>
      </c>
      <c r="AS4" s="48">
        <v>0</v>
      </c>
      <c r="AT4" s="48">
        <v>0</v>
      </c>
      <c r="AU4" s="48">
        <v>0</v>
      </c>
      <c r="AV4" s="49">
        <v>25</v>
      </c>
      <c r="AW4" s="48">
        <v>60</v>
      </c>
      <c r="AX4" s="45">
        <f>AV4*AW4</f>
        <v>1500</v>
      </c>
      <c r="AY4" s="48">
        <v>0</v>
      </c>
      <c r="AZ4" s="48">
        <v>0</v>
      </c>
      <c r="BA4" s="48">
        <f>10028.99+1908.45</f>
        <v>11937.44</v>
      </c>
      <c r="BB4" s="12">
        <f>AO4+AP4</f>
        <v>165</v>
      </c>
      <c r="BC4" s="41">
        <f>(BB4+AJ4)*AN4+AQ4-3164</f>
        <v>39766</v>
      </c>
      <c r="BD4" s="46">
        <f>BC4+AB4</f>
        <v>71276.7</v>
      </c>
      <c r="BE4" s="46">
        <f>(BC4+BA4+AY4+AT4)+(AI4+AH4+AC4)+AX4+AZ4+AS4+AR4+AG4+AF4</f>
        <v>94030.69</v>
      </c>
      <c r="BF4" s="50">
        <f>AV4+AN4</f>
        <v>225</v>
      </c>
      <c r="BH4" s="10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0">
        <f>AP4*AO4</f>
        <v>2250</v>
      </c>
      <c r="BP4" s="18"/>
      <c r="BQ4" s="16">
        <v>0</v>
      </c>
      <c r="BR4" s="16">
        <v>3950</v>
      </c>
      <c r="BS4" s="16">
        <v>0</v>
      </c>
      <c r="BT4" s="16">
        <f>500+140+160</f>
        <v>800</v>
      </c>
      <c r="BU4" s="16">
        <v>200</v>
      </c>
      <c r="BV4" s="10">
        <v>250</v>
      </c>
      <c r="BW4" s="16"/>
      <c r="BX4" s="16"/>
      <c r="BY4" s="16"/>
      <c r="BZ4" s="16">
        <v>689.55</v>
      </c>
      <c r="CA4" s="16">
        <v>1427.04</v>
      </c>
      <c r="CB4" s="16"/>
      <c r="CC4" s="16"/>
      <c r="CD4" s="16"/>
      <c r="CE4" s="16"/>
      <c r="CF4" s="16"/>
      <c r="CG4" s="123">
        <f>SUM(BR4:CF4)</f>
        <v>7316.59</v>
      </c>
    </row>
    <row r="5" spans="1:85" s="35" customFormat="1" x14ac:dyDescent="0.25">
      <c r="A5" s="30">
        <v>4</v>
      </c>
      <c r="B5" s="192">
        <v>45709</v>
      </c>
      <c r="C5" s="362" t="s">
        <v>78</v>
      </c>
      <c r="D5" s="110" t="s">
        <v>79</v>
      </c>
      <c r="E5" s="49" t="s">
        <v>74</v>
      </c>
      <c r="F5" s="363" t="s">
        <v>9</v>
      </c>
      <c r="G5" s="110" t="s">
        <v>2</v>
      </c>
      <c r="H5" s="115">
        <v>172</v>
      </c>
      <c r="I5" s="110" t="s">
        <v>5</v>
      </c>
      <c r="J5" s="52"/>
      <c r="K5" s="48">
        <v>25000</v>
      </c>
      <c r="L5" s="48">
        <v>2500</v>
      </c>
      <c r="M5" s="48">
        <v>3000</v>
      </c>
      <c r="N5" s="48">
        <v>3000</v>
      </c>
      <c r="O5" s="48">
        <v>0</v>
      </c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1">
        <f>K5+L5+M5+N5+O5+P5+Q5+R5+T5</f>
        <v>33500</v>
      </c>
      <c r="AC5" s="41">
        <f>AB5+AA5+Z5+Y5+X5+V5+U5</f>
        <v>33500</v>
      </c>
      <c r="AD5" s="48">
        <f>40+10</f>
        <v>50</v>
      </c>
      <c r="AE5" s="48">
        <v>26.5</v>
      </c>
      <c r="AF5" s="48">
        <v>0</v>
      </c>
      <c r="AG5" s="48">
        <v>0</v>
      </c>
      <c r="AH5" s="48">
        <v>0</v>
      </c>
      <c r="AI5" s="48">
        <v>0</v>
      </c>
      <c r="AJ5" s="12">
        <f>AD5+AE5</f>
        <v>76.5</v>
      </c>
      <c r="AK5" s="41">
        <f>AJ5*AN5</f>
        <v>22950</v>
      </c>
      <c r="AL5" s="41">
        <f>AK5+AI5+AH5+AG5+AF5</f>
        <v>22950</v>
      </c>
      <c r="AM5" s="41">
        <f>AL5+AC5</f>
        <v>56450</v>
      </c>
      <c r="AN5" s="49">
        <v>300</v>
      </c>
      <c r="AO5" s="48">
        <v>70</v>
      </c>
      <c r="AP5" s="48">
        <v>0</v>
      </c>
      <c r="AQ5" s="48">
        <v>0</v>
      </c>
      <c r="AR5" s="48">
        <v>0</v>
      </c>
      <c r="AS5" s="48">
        <v>0</v>
      </c>
      <c r="AT5" s="48">
        <f>1500</f>
        <v>1500</v>
      </c>
      <c r="AU5" s="48">
        <v>0</v>
      </c>
      <c r="AV5" s="49">
        <v>0</v>
      </c>
      <c r="AW5" s="48"/>
      <c r="AX5" s="45">
        <f>AV5*AW5</f>
        <v>0</v>
      </c>
      <c r="AY5" s="48"/>
      <c r="AZ5" s="48"/>
      <c r="BA5" s="48"/>
      <c r="BB5" s="12">
        <f>AO5+AP5</f>
        <v>70</v>
      </c>
      <c r="BC5" s="41">
        <f>(BB5+AJ5)*AN5+AQ5</f>
        <v>43950</v>
      </c>
      <c r="BD5" s="46">
        <f>BC5+AB5</f>
        <v>77450</v>
      </c>
      <c r="BE5" s="46">
        <f>(BC5+BA5+AY5+AT5)+(AI5+AH5+AC5)+AX5+AZ5+AS5+AR5+AG5+AF5</f>
        <v>78950</v>
      </c>
      <c r="BF5" s="50">
        <f>AV5+AN5</f>
        <v>300</v>
      </c>
      <c r="BH5" s="10">
        <f>BE5*10%</f>
        <v>7895</v>
      </c>
      <c r="BI5" s="37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0">
        <f>AP5*AO5</f>
        <v>0</v>
      </c>
      <c r="BP5" s="18"/>
      <c r="BQ5" s="16">
        <v>0</v>
      </c>
      <c r="BR5" s="16">
        <v>5450</v>
      </c>
      <c r="BS5" s="16">
        <v>0</v>
      </c>
      <c r="BT5" s="16">
        <v>500</v>
      </c>
      <c r="BU5" s="16">
        <v>200</v>
      </c>
      <c r="BV5" s="10">
        <v>250</v>
      </c>
      <c r="BW5" s="16"/>
      <c r="BX5" s="16"/>
      <c r="BY5" s="16"/>
      <c r="BZ5" s="16">
        <v>4698.62</v>
      </c>
      <c r="CA5" s="16">
        <v>923.64</v>
      </c>
      <c r="CB5" s="16"/>
      <c r="CC5" s="16"/>
      <c r="CD5" s="16"/>
      <c r="CE5" s="16"/>
      <c r="CF5" s="16"/>
      <c r="CG5" s="123">
        <f>SUM(BR5:CF5)</f>
        <v>12022.259999999998</v>
      </c>
    </row>
    <row r="6" spans="1:85" s="35" customFormat="1" ht="15.75" customHeight="1" x14ac:dyDescent="0.25">
      <c r="A6" s="30">
        <v>5</v>
      </c>
      <c r="B6" s="112">
        <v>45710</v>
      </c>
      <c r="C6" s="110" t="s">
        <v>80</v>
      </c>
      <c r="D6" s="110" t="s">
        <v>81</v>
      </c>
      <c r="E6" s="49" t="s">
        <v>74</v>
      </c>
      <c r="F6" s="110" t="s">
        <v>9</v>
      </c>
      <c r="G6" s="110" t="s">
        <v>10</v>
      </c>
      <c r="H6" s="115">
        <v>322</v>
      </c>
      <c r="I6" s="110" t="s">
        <v>5</v>
      </c>
      <c r="J6" s="60"/>
      <c r="K6" s="45">
        <v>30000</v>
      </c>
      <c r="L6" s="45">
        <v>3000</v>
      </c>
      <c r="M6" s="45">
        <v>2875</v>
      </c>
      <c r="N6" s="45">
        <v>8280</v>
      </c>
      <c r="O6" s="45">
        <v>0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1">
        <f>K6+L6+M6+N6+O6+P6+Q6+R6+T6</f>
        <v>44155</v>
      </c>
      <c r="AC6" s="41">
        <f>AB6+AA6+Z6+Y6+X6+V6+U6</f>
        <v>44155</v>
      </c>
      <c r="AD6" s="45">
        <v>30</v>
      </c>
      <c r="AE6" s="45">
        <v>99.6</v>
      </c>
      <c r="AF6" s="45">
        <v>0</v>
      </c>
      <c r="AG6" s="45"/>
      <c r="AH6" s="45"/>
      <c r="AI6" s="45"/>
      <c r="AJ6" s="12">
        <f>AD6+AE6</f>
        <v>129.6</v>
      </c>
      <c r="AK6" s="41">
        <f>AJ6*AN6</f>
        <v>98755.199999999997</v>
      </c>
      <c r="AL6" s="41">
        <f>AK6+AI6+AH6+AG6+AF6</f>
        <v>98755.199999999997</v>
      </c>
      <c r="AM6" s="41">
        <f>AL6+AC6</f>
        <v>142910.20000000001</v>
      </c>
      <c r="AN6" s="49">
        <v>762</v>
      </c>
      <c r="AO6" s="45">
        <v>96</v>
      </c>
      <c r="AP6" s="45"/>
      <c r="AQ6" s="45">
        <v>4750</v>
      </c>
      <c r="AR6" s="45">
        <v>5250</v>
      </c>
      <c r="AS6" s="45"/>
      <c r="AT6" s="45">
        <v>8280</v>
      </c>
      <c r="AU6" s="45"/>
      <c r="AV6" s="49">
        <v>42</v>
      </c>
      <c r="AW6" s="45">
        <v>300.363</v>
      </c>
      <c r="AX6" s="45">
        <f>AV6*AW6</f>
        <v>12615.245999999999</v>
      </c>
      <c r="AY6" s="45">
        <f>1750+11754</f>
        <v>13504</v>
      </c>
      <c r="AZ6" s="45"/>
      <c r="BA6" s="45"/>
      <c r="BB6" s="12">
        <f>AO6+AP6</f>
        <v>96</v>
      </c>
      <c r="BC6" s="41">
        <f>(BB6+AJ6)*AN6+AQ6</f>
        <v>176657.19999999998</v>
      </c>
      <c r="BD6" s="46">
        <f>BC6+AB6</f>
        <v>220812.19999999998</v>
      </c>
      <c r="BE6" s="46">
        <f>(BC6+BA6+AY6+AT6)+(AI6+AH6+AC6)+AX6+AZ6+AS6+AR6+AG6+AF6</f>
        <v>260461.446</v>
      </c>
      <c r="BF6" s="50">
        <f>AV6+AN6</f>
        <v>804</v>
      </c>
      <c r="BH6" s="10">
        <v>0</v>
      </c>
      <c r="BI6" s="16">
        <f>BE6*10%</f>
        <v>26046.1446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f>AP6*AO6</f>
        <v>0</v>
      </c>
      <c r="BP6" s="10"/>
      <c r="BQ6" s="10">
        <v>0</v>
      </c>
      <c r="BR6" s="10">
        <v>5450</v>
      </c>
      <c r="BS6" s="10">
        <v>0</v>
      </c>
      <c r="BT6" s="10">
        <f>4*160+180</f>
        <v>820</v>
      </c>
      <c r="BU6" s="10">
        <v>200</v>
      </c>
      <c r="BV6" s="10">
        <v>250</v>
      </c>
      <c r="BW6" s="10"/>
      <c r="BX6" s="10"/>
      <c r="BY6" s="10"/>
      <c r="BZ6" s="10">
        <v>5343.92</v>
      </c>
      <c r="CA6" s="10">
        <f>7785.66+10988.95</f>
        <v>18774.61</v>
      </c>
      <c r="CB6" s="10"/>
      <c r="CC6" s="10"/>
      <c r="CD6" s="10"/>
      <c r="CE6" s="10"/>
      <c r="CF6" s="10"/>
      <c r="CG6" s="123">
        <f>SUM(BR6:CF6)</f>
        <v>30838.53</v>
      </c>
    </row>
    <row r="7" spans="1:85" s="35" customFormat="1" x14ac:dyDescent="0.25">
      <c r="A7" s="30">
        <v>6</v>
      </c>
      <c r="B7" s="111">
        <v>45717</v>
      </c>
      <c r="C7" s="49" t="s">
        <v>82</v>
      </c>
      <c r="D7" s="49" t="s">
        <v>79</v>
      </c>
      <c r="E7" s="49" t="s">
        <v>74</v>
      </c>
      <c r="F7" s="49" t="s">
        <v>9</v>
      </c>
      <c r="G7" s="49" t="s">
        <v>10</v>
      </c>
      <c r="H7" s="115">
        <v>176</v>
      </c>
      <c r="I7" s="49" t="s">
        <v>5</v>
      </c>
      <c r="J7" s="52"/>
      <c r="K7" s="48">
        <v>24000</v>
      </c>
      <c r="L7" s="48">
        <v>0</v>
      </c>
      <c r="M7" s="48">
        <v>0</v>
      </c>
      <c r="N7" s="48">
        <v>7000</v>
      </c>
      <c r="O7" s="48">
        <v>0</v>
      </c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1">
        <f>K7+L7+M7+N7+O7+P7+Q7+R7+T7</f>
        <v>31000</v>
      </c>
      <c r="AC7" s="41">
        <f>AB7+AA7+Z7+Y7+X7+V7+U7</f>
        <v>31000</v>
      </c>
      <c r="AD7" s="48">
        <v>55</v>
      </c>
      <c r="AE7" s="48">
        <v>26.5</v>
      </c>
      <c r="AF7" s="48"/>
      <c r="AG7" s="48"/>
      <c r="AH7" s="48"/>
      <c r="AI7" s="48"/>
      <c r="AJ7" s="43">
        <f>AD7+AE7</f>
        <v>81.5</v>
      </c>
      <c r="AK7" s="41">
        <f>AJ7*AN7</f>
        <v>46373.5</v>
      </c>
      <c r="AL7" s="41">
        <f>AK7+AI7+AH7+AG7+AF7</f>
        <v>46373.5</v>
      </c>
      <c r="AM7" s="41">
        <f>AL7+AC7</f>
        <v>77373.5</v>
      </c>
      <c r="AN7" s="49">
        <v>569</v>
      </c>
      <c r="AO7" s="48">
        <v>45</v>
      </c>
      <c r="AP7" s="48">
        <v>0</v>
      </c>
      <c r="AQ7" s="48">
        <v>0</v>
      </c>
      <c r="AR7" s="48"/>
      <c r="AS7" s="48"/>
      <c r="AT7" s="48">
        <f>750+250</f>
        <v>1000</v>
      </c>
      <c r="AU7" s="48"/>
      <c r="AV7" s="49">
        <v>0</v>
      </c>
      <c r="AW7" s="48"/>
      <c r="AX7" s="45">
        <f>AV7*AW7</f>
        <v>0</v>
      </c>
      <c r="AY7" s="48"/>
      <c r="AZ7" s="48"/>
      <c r="BA7" s="48"/>
      <c r="BB7" s="12">
        <f>AO7+AP7</f>
        <v>45</v>
      </c>
      <c r="BC7" s="41">
        <f>(BB7+AJ7)*AN7+AQ7</f>
        <v>71978.5</v>
      </c>
      <c r="BD7" s="46">
        <f>BC7+AB7</f>
        <v>102978.5</v>
      </c>
      <c r="BE7" s="46">
        <f>(BC7+BA7+AY7+AT7)+(AI7+AH7+AC7)+AX7+AZ7+AS7+AR7+AG7+AF7</f>
        <v>103978.5</v>
      </c>
      <c r="BF7" s="50">
        <f>AV7+AN7</f>
        <v>569</v>
      </c>
      <c r="BH7" s="10">
        <f>BE7*10%</f>
        <v>10397.85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0">
        <f>AP7*AO7</f>
        <v>0</v>
      </c>
      <c r="BP7" s="18">
        <v>1350</v>
      </c>
      <c r="BQ7" s="16">
        <v>135</v>
      </c>
      <c r="BR7" s="16">
        <v>5450</v>
      </c>
      <c r="BS7" s="16">
        <v>0</v>
      </c>
      <c r="BT7" s="16">
        <f>980+580</f>
        <v>1560</v>
      </c>
      <c r="BU7" s="16">
        <v>200</v>
      </c>
      <c r="BV7" s="10">
        <v>250</v>
      </c>
      <c r="BW7" s="16"/>
      <c r="BX7" s="16"/>
      <c r="BY7" s="16"/>
      <c r="BZ7" s="16">
        <v>6321.21</v>
      </c>
      <c r="CA7" s="16"/>
      <c r="CB7" s="16"/>
      <c r="CC7" s="16"/>
      <c r="CD7" s="16"/>
      <c r="CE7" s="16">
        <v>630</v>
      </c>
      <c r="CF7" s="16"/>
      <c r="CG7" s="123">
        <f>SUM(BR7:CF7)</f>
        <v>14411.21</v>
      </c>
    </row>
    <row r="8" spans="1:85" s="35" customFormat="1" x14ac:dyDescent="0.25">
      <c r="A8" s="30">
        <v>7</v>
      </c>
      <c r="B8" s="111">
        <v>45724</v>
      </c>
      <c r="C8" s="49" t="s">
        <v>83</v>
      </c>
      <c r="D8" s="49" t="s">
        <v>84</v>
      </c>
      <c r="E8" s="49" t="s">
        <v>74</v>
      </c>
      <c r="F8" s="49" t="s">
        <v>9</v>
      </c>
      <c r="G8" s="49" t="s">
        <v>2</v>
      </c>
      <c r="H8" s="115">
        <v>280</v>
      </c>
      <c r="I8" s="49" t="s">
        <v>5</v>
      </c>
      <c r="J8" s="60"/>
      <c r="K8" s="45">
        <v>39733.65</v>
      </c>
      <c r="L8" s="45">
        <v>3973.36</v>
      </c>
      <c r="M8" s="45">
        <v>2500</v>
      </c>
      <c r="N8" s="45">
        <v>7200</v>
      </c>
      <c r="O8" s="45">
        <v>0</v>
      </c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1">
        <f>K8+L8+M8+N8+O8+P8+Q8+R8+T8</f>
        <v>53407.01</v>
      </c>
      <c r="AC8" s="41">
        <f>AB8+AA8+Z8+Y8+X8+V8+U8</f>
        <v>53407.01</v>
      </c>
      <c r="AD8" s="45">
        <v>41</v>
      </c>
      <c r="AE8" s="45">
        <v>35</v>
      </c>
      <c r="AF8" s="45"/>
      <c r="AG8" s="45"/>
      <c r="AH8" s="45">
        <f>73*17</f>
        <v>1241</v>
      </c>
      <c r="AI8" s="45"/>
      <c r="AJ8" s="43">
        <f>AD8+AE8</f>
        <v>76</v>
      </c>
      <c r="AK8" s="41">
        <f>AJ8*AN8</f>
        <v>57760</v>
      </c>
      <c r="AL8" s="41">
        <f>AK8+AI8+AH8+AG8+AF8</f>
        <v>59001</v>
      </c>
      <c r="AM8" s="41">
        <f>AL8+AC8</f>
        <v>112408.01000000001</v>
      </c>
      <c r="AN8" s="49">
        <v>760</v>
      </c>
      <c r="AO8" s="45">
        <v>81</v>
      </c>
      <c r="AP8" s="45">
        <v>0</v>
      </c>
      <c r="AQ8" s="45">
        <v>0</v>
      </c>
      <c r="AR8" s="45">
        <f>210+300+210+300+300+210+300+210+210+300+210+210+210+210+210+210+210+210+300+300+210+210+210+210+210+300+210</f>
        <v>6390</v>
      </c>
      <c r="AS8" s="45"/>
      <c r="AT8" s="45"/>
      <c r="AU8" s="45"/>
      <c r="AV8" s="49">
        <v>114</v>
      </c>
      <c r="AW8" s="45">
        <v>224.12</v>
      </c>
      <c r="AX8" s="45">
        <f>AV8*AW8</f>
        <v>25549.68</v>
      </c>
      <c r="AY8" s="45">
        <f>6431.91-190</f>
        <v>6241.91</v>
      </c>
      <c r="AZ8" s="45"/>
      <c r="BA8" s="45"/>
      <c r="BB8" s="12">
        <f>AO8+AP8</f>
        <v>81</v>
      </c>
      <c r="BC8" s="41">
        <f>(BB8+AJ8)*AN8+AQ8</f>
        <v>119320</v>
      </c>
      <c r="BD8" s="46">
        <f>BC8+AB8</f>
        <v>172727.01</v>
      </c>
      <c r="BE8" s="46">
        <f>(BC8+BA8+AY8+AT8)+(AI8+AH8+AC8)+AX8+AZ8+AS8+AR8+AG8+AF8</f>
        <v>212149.6</v>
      </c>
      <c r="BF8" s="50">
        <f>AV8+AN8</f>
        <v>874</v>
      </c>
      <c r="BH8" s="10">
        <v>0</v>
      </c>
      <c r="BI8" s="10">
        <f>BE8*10%</f>
        <v>21214.960000000003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f>AP8*AO8</f>
        <v>0</v>
      </c>
      <c r="BP8" s="18"/>
      <c r="BQ8" s="16">
        <v>219</v>
      </c>
      <c r="BR8" s="16">
        <v>5450</v>
      </c>
      <c r="BS8" s="16">
        <v>0</v>
      </c>
      <c r="BT8" s="16">
        <f>1140+580-160</f>
        <v>1560</v>
      </c>
      <c r="BU8" s="16">
        <v>200</v>
      </c>
      <c r="BV8" s="10">
        <v>250</v>
      </c>
      <c r="BW8" s="16"/>
      <c r="BX8" s="16"/>
      <c r="BY8" s="16"/>
      <c r="BZ8" s="16">
        <v>7568.41</v>
      </c>
      <c r="CA8" s="16">
        <v>3171.56</v>
      </c>
      <c r="CB8" s="16"/>
      <c r="CC8" s="16"/>
      <c r="CD8" s="16"/>
      <c r="CE8" s="16"/>
      <c r="CF8" s="16"/>
      <c r="CG8" s="123">
        <f>SUM(BR8:CF8)</f>
        <v>18199.97</v>
      </c>
    </row>
    <row r="9" spans="1:85" s="35" customFormat="1" x14ac:dyDescent="0.25">
      <c r="A9" s="30">
        <v>8</v>
      </c>
      <c r="B9" s="193">
        <v>45724</v>
      </c>
      <c r="C9" s="54" t="s">
        <v>85</v>
      </c>
      <c r="D9" s="54" t="s">
        <v>79</v>
      </c>
      <c r="E9" s="54" t="s">
        <v>3</v>
      </c>
      <c r="F9" s="54" t="s">
        <v>86</v>
      </c>
      <c r="G9" s="54" t="s">
        <v>86</v>
      </c>
      <c r="H9" s="194">
        <v>593</v>
      </c>
      <c r="I9" s="54" t="s">
        <v>87</v>
      </c>
      <c r="J9" s="52"/>
      <c r="K9" s="118">
        <v>0</v>
      </c>
      <c r="L9" s="118">
        <v>0</v>
      </c>
      <c r="M9" s="118">
        <v>0</v>
      </c>
      <c r="N9" s="118">
        <v>0</v>
      </c>
      <c r="O9" s="118">
        <v>0</v>
      </c>
      <c r="P9" s="118">
        <v>0</v>
      </c>
      <c r="Q9" s="118">
        <v>0</v>
      </c>
      <c r="R9" s="118">
        <v>0</v>
      </c>
      <c r="S9" s="118">
        <v>0</v>
      </c>
      <c r="T9" s="118">
        <v>0</v>
      </c>
      <c r="U9" s="118">
        <v>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53">
        <f>K9+L9+M11+N9+O9+P9+Q9+R9+T9</f>
        <v>0</v>
      </c>
      <c r="AC9" s="53">
        <f>AB9+AA9+Z9+Y9+X9+V9+U9</f>
        <v>0</v>
      </c>
      <c r="AD9" s="118">
        <v>28</v>
      </c>
      <c r="AE9" s="118"/>
      <c r="AF9" s="118"/>
      <c r="AG9" s="118"/>
      <c r="AH9" s="118"/>
      <c r="AI9" s="118"/>
      <c r="AJ9" s="119">
        <f>AD9+AE9</f>
        <v>28</v>
      </c>
      <c r="AK9" s="53">
        <f>AJ9*AN9</f>
        <v>16030</v>
      </c>
      <c r="AL9" s="53">
        <f>AK9+AI9+AH9+AG9+AF9</f>
        <v>16030</v>
      </c>
      <c r="AM9" s="53">
        <f>AL9+AC9</f>
        <v>16030</v>
      </c>
      <c r="AN9" s="54">
        <v>572.5</v>
      </c>
      <c r="AO9" s="118">
        <v>0</v>
      </c>
      <c r="AP9" s="118">
        <v>0</v>
      </c>
      <c r="AQ9" s="118">
        <v>0</v>
      </c>
      <c r="AR9" s="118">
        <v>0</v>
      </c>
      <c r="AS9" s="118">
        <v>0</v>
      </c>
      <c r="AT9" s="118">
        <v>0</v>
      </c>
      <c r="AU9" s="118">
        <v>0</v>
      </c>
      <c r="AV9" s="54"/>
      <c r="AW9" s="118"/>
      <c r="AX9" s="45">
        <f>AV9*AW9</f>
        <v>0</v>
      </c>
      <c r="AY9" s="118"/>
      <c r="AZ9" s="118"/>
      <c r="BA9" s="118"/>
      <c r="BB9" s="12">
        <f>AO9+AP9</f>
        <v>0</v>
      </c>
      <c r="BC9" s="53">
        <f>(BB9+AJ9)*AN9+AQ9</f>
        <v>16030</v>
      </c>
      <c r="BD9" s="55">
        <f>BC9+AB9</f>
        <v>16030</v>
      </c>
      <c r="BE9" s="55">
        <f>(BC9+BA9+AY9+AT9)+(AI9+AH9+AC9)+AX9+AZ9+AS9+AR9+AG9+AF9</f>
        <v>16030</v>
      </c>
      <c r="BF9" s="56">
        <f>AV9+AN9</f>
        <v>572.5</v>
      </c>
      <c r="BH9" s="179">
        <f>BE9*10%</f>
        <v>1603</v>
      </c>
      <c r="BI9" s="178">
        <v>0</v>
      </c>
      <c r="BJ9" s="178">
        <v>0</v>
      </c>
      <c r="BK9" s="178">
        <v>0</v>
      </c>
      <c r="BL9" s="178">
        <v>0</v>
      </c>
      <c r="BM9" s="178">
        <v>0</v>
      </c>
      <c r="BN9" s="178">
        <v>0</v>
      </c>
      <c r="BO9" s="10">
        <f>AP9*AO9</f>
        <v>0</v>
      </c>
      <c r="BP9" s="195"/>
      <c r="BQ9" s="178">
        <v>0</v>
      </c>
      <c r="BR9" s="178"/>
      <c r="BS9" s="178">
        <v>0</v>
      </c>
      <c r="BT9" s="178"/>
      <c r="BU9" s="178"/>
      <c r="BV9" s="179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23">
        <f>SUM(BR9:CF9)</f>
        <v>0</v>
      </c>
    </row>
    <row r="10" spans="1:85" s="35" customFormat="1" x14ac:dyDescent="0.25">
      <c r="A10" s="30">
        <v>9</v>
      </c>
      <c r="B10" s="111">
        <v>45731</v>
      </c>
      <c r="C10" s="49" t="s">
        <v>88</v>
      </c>
      <c r="D10" s="49" t="s">
        <v>84</v>
      </c>
      <c r="E10" s="49" t="s">
        <v>74</v>
      </c>
      <c r="F10" s="49" t="s">
        <v>9</v>
      </c>
      <c r="G10" s="49" t="s">
        <v>10</v>
      </c>
      <c r="H10" s="115">
        <v>279</v>
      </c>
      <c r="I10" s="49" t="s">
        <v>5</v>
      </c>
      <c r="J10" s="47"/>
      <c r="K10" s="48">
        <v>39733.65</v>
      </c>
      <c r="L10" s="48">
        <v>3973.36</v>
      </c>
      <c r="M10" s="48">
        <v>2500</v>
      </c>
      <c r="N10" s="48">
        <v>7200</v>
      </c>
      <c r="O10" s="48">
        <v>0</v>
      </c>
      <c r="P10" s="48"/>
      <c r="Q10" s="48"/>
      <c r="R10" s="48">
        <v>1200</v>
      </c>
      <c r="S10" s="48"/>
      <c r="T10" s="48"/>
      <c r="U10" s="48"/>
      <c r="V10" s="48"/>
      <c r="W10" s="48"/>
      <c r="X10" s="48"/>
      <c r="Y10" s="48"/>
      <c r="Z10" s="48"/>
      <c r="AA10" s="48"/>
      <c r="AB10" s="41">
        <f>K10+L10+M10+N10+O10+P10+Q10+R10+T10</f>
        <v>54607.01</v>
      </c>
      <c r="AC10" s="41">
        <f>AB10+AA10+Z10+Y10+X10+V10+U10</f>
        <v>54607.01</v>
      </c>
      <c r="AD10" s="48">
        <v>41</v>
      </c>
      <c r="AE10" s="48">
        <v>35</v>
      </c>
      <c r="AF10" s="48"/>
      <c r="AG10" s="48"/>
      <c r="AH10" s="48"/>
      <c r="AI10" s="48"/>
      <c r="AJ10" s="43">
        <f>AD10+AE10</f>
        <v>76</v>
      </c>
      <c r="AK10" s="41">
        <f>AJ10*AN10</f>
        <v>62320</v>
      </c>
      <c r="AL10" s="41">
        <f>AK10+AI10+AH10+AG10+AF10</f>
        <v>62320</v>
      </c>
      <c r="AM10" s="41">
        <f>AL10+AC10</f>
        <v>116927.01000000001</v>
      </c>
      <c r="AN10" s="49">
        <v>820</v>
      </c>
      <c r="AO10" s="48">
        <v>81</v>
      </c>
      <c r="AP10" s="48">
        <v>0</v>
      </c>
      <c r="AQ10" s="48">
        <v>0</v>
      </c>
      <c r="AR10" s="48"/>
      <c r="AS10" s="48"/>
      <c r="AT10" s="48"/>
      <c r="AU10" s="48"/>
      <c r="AV10" s="49"/>
      <c r="AW10" s="48"/>
      <c r="AX10" s="45">
        <f>AV10*AW10</f>
        <v>0</v>
      </c>
      <c r="AY10" s="48"/>
      <c r="AZ10" s="48">
        <f>13363.79+7274.21</f>
        <v>20638</v>
      </c>
      <c r="BA10" s="48"/>
      <c r="BB10" s="12">
        <f>AO10+AP10</f>
        <v>81</v>
      </c>
      <c r="BC10" s="41">
        <f>(BB10+AJ10)*AN10+AQ10</f>
        <v>128740</v>
      </c>
      <c r="BD10" s="46">
        <f>BC10+AB10</f>
        <v>183347.01</v>
      </c>
      <c r="BE10" s="46">
        <f>(BC10+BA10+AY10+AT10)+(AI10+AH10+AC10)+AX10+AZ10+AS10+AR10+AG10+AF10</f>
        <v>203985.01</v>
      </c>
      <c r="BF10" s="50">
        <f>AV10+AN10</f>
        <v>820</v>
      </c>
      <c r="BH10" s="10">
        <v>0</v>
      </c>
      <c r="BI10" s="16">
        <f>BE10*10%</f>
        <v>20398.501000000004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0">
        <f>AP10*AO10</f>
        <v>0</v>
      </c>
      <c r="BP10" s="18"/>
      <c r="BQ10" s="16">
        <v>0</v>
      </c>
      <c r="BR10" s="16">
        <v>5450</v>
      </c>
      <c r="BS10" s="16">
        <v>0</v>
      </c>
      <c r="BT10" s="16">
        <f>160+1010+420</f>
        <v>1590</v>
      </c>
      <c r="BU10" s="16">
        <v>200</v>
      </c>
      <c r="BV10" s="10">
        <v>250</v>
      </c>
      <c r="BW10" s="16"/>
      <c r="BX10" s="16">
        <v>500</v>
      </c>
      <c r="BY10" s="16"/>
      <c r="BZ10" s="16">
        <v>10474.94</v>
      </c>
      <c r="CA10" s="16">
        <v>3737.37</v>
      </c>
      <c r="CB10" s="16"/>
      <c r="CC10" s="16"/>
      <c r="CD10" s="16"/>
      <c r="CE10" s="16">
        <v>810</v>
      </c>
      <c r="CF10" s="16"/>
      <c r="CG10" s="123">
        <f>SUM(BR10:CF10)</f>
        <v>23012.31</v>
      </c>
    </row>
    <row r="11" spans="1:85" s="35" customFormat="1" x14ac:dyDescent="0.25">
      <c r="A11" s="30">
        <v>10</v>
      </c>
      <c r="B11" s="111">
        <v>45734</v>
      </c>
      <c r="C11" s="49" t="s">
        <v>89</v>
      </c>
      <c r="D11" s="49" t="s">
        <v>5</v>
      </c>
      <c r="E11" s="49" t="s">
        <v>74</v>
      </c>
      <c r="F11" s="49" t="s">
        <v>90</v>
      </c>
      <c r="G11" s="49" t="s">
        <v>2</v>
      </c>
      <c r="H11" s="59">
        <v>590</v>
      </c>
      <c r="I11" s="49" t="s">
        <v>5</v>
      </c>
      <c r="J11" s="47"/>
      <c r="K11" s="48">
        <v>13149.5</v>
      </c>
      <c r="L11" s="48">
        <v>1800</v>
      </c>
      <c r="M11" s="48">
        <v>0</v>
      </c>
      <c r="N11" s="48">
        <v>6300</v>
      </c>
      <c r="O11" s="48">
        <v>2310</v>
      </c>
      <c r="P11" s="48">
        <v>0</v>
      </c>
      <c r="Q11" s="48">
        <v>0</v>
      </c>
      <c r="R11" s="48">
        <v>0</v>
      </c>
      <c r="S11" s="48">
        <v>5900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  <c r="AA11" s="48">
        <v>0</v>
      </c>
      <c r="AB11" s="41">
        <f>K11+L11+M11+N11+O11+P11+Q11+R11+T11+S11</f>
        <v>29459.5</v>
      </c>
      <c r="AC11" s="41">
        <f>AB11+AA11+Z11+Y11+X11+V11+U11</f>
        <v>29459.5</v>
      </c>
      <c r="AD11" s="48">
        <v>37</v>
      </c>
      <c r="AE11" s="48">
        <v>0</v>
      </c>
      <c r="AF11" s="48">
        <v>0</v>
      </c>
      <c r="AG11" s="48">
        <v>0</v>
      </c>
      <c r="AH11" s="48">
        <v>0</v>
      </c>
      <c r="AI11" s="48">
        <v>0</v>
      </c>
      <c r="AJ11" s="12">
        <f>AD11+AE11</f>
        <v>37</v>
      </c>
      <c r="AK11" s="41">
        <f>AJ11*AN11</f>
        <v>11100</v>
      </c>
      <c r="AL11" s="41">
        <f>AK11+AI11+AH11+AG11+AF11</f>
        <v>11100</v>
      </c>
      <c r="AM11" s="41">
        <f>AL11+AC11</f>
        <v>40559.5</v>
      </c>
      <c r="AN11" s="49">
        <v>300</v>
      </c>
      <c r="AO11" s="48">
        <v>100.666667</v>
      </c>
      <c r="AP11" s="48">
        <v>0</v>
      </c>
      <c r="AQ11" s="48">
        <v>7560</v>
      </c>
      <c r="AR11" s="48">
        <v>0</v>
      </c>
      <c r="AS11" s="48">
        <v>0</v>
      </c>
      <c r="AT11" s="48">
        <v>0</v>
      </c>
      <c r="AU11" s="48">
        <v>0</v>
      </c>
      <c r="AV11" s="49">
        <v>0</v>
      </c>
      <c r="AW11" s="48">
        <v>0</v>
      </c>
      <c r="AX11" s="45">
        <f>AV11*AW11</f>
        <v>0</v>
      </c>
      <c r="AY11" s="48">
        <v>0</v>
      </c>
      <c r="AZ11" s="48">
        <v>0</v>
      </c>
      <c r="BA11" s="48">
        <v>11702.91</v>
      </c>
      <c r="BB11" s="12">
        <f>AO11+AP11</f>
        <v>100.666667</v>
      </c>
      <c r="BC11" s="41">
        <f>(BB11+AJ11)*AN11+AQ11</f>
        <v>48860.000100000005</v>
      </c>
      <c r="BD11" s="46">
        <f>BC11+AB11</f>
        <v>78319.500100000005</v>
      </c>
      <c r="BE11" s="46">
        <f>(BC11+BA11+AY11+AT11)+(AI11+AH11+AC11)+AX11+AZ11+AS11+AR11+AG11+AF11</f>
        <v>90022.410100000008</v>
      </c>
      <c r="BF11" s="50">
        <f>AV11+AN11</f>
        <v>300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f>BE11*10%</f>
        <v>9002.2410100000016</v>
      </c>
      <c r="BO11" s="10">
        <f>AP11*AO11</f>
        <v>0</v>
      </c>
      <c r="BP11" s="18"/>
      <c r="BQ11" s="16">
        <v>0</v>
      </c>
      <c r="BR11" s="16">
        <v>3950</v>
      </c>
      <c r="BS11" s="16">
        <v>0</v>
      </c>
      <c r="BT11" s="16"/>
      <c r="BU11" s="16"/>
      <c r="BV11" s="16"/>
      <c r="BW11" s="16"/>
      <c r="BX11" s="16">
        <v>500</v>
      </c>
      <c r="BY11" s="16"/>
      <c r="BZ11" s="16">
        <v>1354.98</v>
      </c>
      <c r="CA11" s="16"/>
      <c r="CB11" s="16"/>
      <c r="CC11" s="16"/>
      <c r="CD11" s="16"/>
      <c r="CE11" s="16"/>
      <c r="CF11" s="16"/>
      <c r="CG11" s="123">
        <f>SUM(BR11:CF11)</f>
        <v>5804.98</v>
      </c>
    </row>
    <row r="12" spans="1:85" x14ac:dyDescent="0.25">
      <c r="A12" s="30">
        <v>11</v>
      </c>
      <c r="B12" s="196">
        <v>45738</v>
      </c>
      <c r="C12" s="13" t="s">
        <v>91</v>
      </c>
      <c r="D12" s="13" t="s">
        <v>70</v>
      </c>
      <c r="E12" s="13" t="s">
        <v>74</v>
      </c>
      <c r="F12" s="13" t="s">
        <v>9</v>
      </c>
      <c r="G12" s="13" t="s">
        <v>10</v>
      </c>
      <c r="H12" s="197">
        <v>315</v>
      </c>
      <c r="I12" s="13" t="s">
        <v>5</v>
      </c>
      <c r="J12" s="19"/>
      <c r="K12" s="10">
        <v>26800</v>
      </c>
      <c r="L12" s="10">
        <v>2680</v>
      </c>
      <c r="M12" s="10">
        <v>2800</v>
      </c>
      <c r="N12" s="10">
        <v>9108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/>
      <c r="V12" s="10"/>
      <c r="W12" s="10"/>
      <c r="X12" s="10"/>
      <c r="Y12" s="10"/>
      <c r="Z12" s="10"/>
      <c r="AA12" s="10"/>
      <c r="AB12" s="11">
        <f>K12+L12+M12+N12+O12+P12+Q12+R12+T12</f>
        <v>41388</v>
      </c>
      <c r="AC12" s="11">
        <f>AB12+AA12+Z12+Y12+X12+V12+U12</f>
        <v>41388</v>
      </c>
      <c r="AD12" s="10">
        <v>40</v>
      </c>
      <c r="AE12" s="10">
        <v>0</v>
      </c>
      <c r="AF12" s="10">
        <f>45*824</f>
        <v>37080</v>
      </c>
      <c r="AG12" s="10"/>
      <c r="AH12" s="10"/>
      <c r="AI12" s="10"/>
      <c r="AJ12" s="12">
        <f>AD12+AE12</f>
        <v>40</v>
      </c>
      <c r="AK12" s="11">
        <f>AJ12*AN12</f>
        <v>20000</v>
      </c>
      <c r="AL12" s="11">
        <f>AK12+AI12+AH12+AG12+AF12</f>
        <v>57080</v>
      </c>
      <c r="AM12" s="11">
        <f>AL12+AC12</f>
        <v>98468</v>
      </c>
      <c r="AN12" s="13">
        <v>500</v>
      </c>
      <c r="AO12" s="10">
        <v>95</v>
      </c>
      <c r="AP12" s="10">
        <v>0</v>
      </c>
      <c r="AQ12" s="10">
        <v>0</v>
      </c>
      <c r="AR12" s="10"/>
      <c r="AS12" s="10"/>
      <c r="AT12" s="10"/>
      <c r="AU12" s="10"/>
      <c r="AV12" s="13"/>
      <c r="AW12" s="10"/>
      <c r="AX12" s="10">
        <f>27840+19500</f>
        <v>47340</v>
      </c>
      <c r="AY12" s="10"/>
      <c r="AZ12" s="10"/>
      <c r="BA12" s="10"/>
      <c r="BB12" s="12">
        <f>AO12+AP12</f>
        <v>95</v>
      </c>
      <c r="BC12" s="11">
        <f>(BB12+AJ12)*AN12+AQ12</f>
        <v>67500</v>
      </c>
      <c r="BD12" s="14">
        <f>BC12+AB12</f>
        <v>108888</v>
      </c>
      <c r="BE12" s="14">
        <f>(BC12+BA12+AY12+AT12)+(AI12+AH12+AC12)+AX12+AZ12+AS12+AR12+AG12+AF12</f>
        <v>193308</v>
      </c>
      <c r="BF12" s="15">
        <f>AV12+AN12</f>
        <v>500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f>BE12*10%</f>
        <v>19330.8</v>
      </c>
      <c r="BN12" s="10"/>
      <c r="BO12" s="10">
        <f>AP12*AO12</f>
        <v>0</v>
      </c>
      <c r="BP12" s="10"/>
      <c r="BQ12" s="10">
        <v>2111</v>
      </c>
      <c r="BR12" s="10">
        <v>5450</v>
      </c>
      <c r="BS12" s="10">
        <v>0</v>
      </c>
      <c r="BT12" s="10"/>
      <c r="BU12" s="10"/>
      <c r="BV12" s="10"/>
      <c r="BW12" s="10"/>
      <c r="BX12" s="10"/>
      <c r="BY12" s="10"/>
      <c r="BZ12" s="10">
        <v>8664.1299999999992</v>
      </c>
      <c r="CA12" s="10">
        <v>6465.34</v>
      </c>
      <c r="CB12" s="10"/>
      <c r="CC12" s="10"/>
      <c r="CD12" s="10"/>
      <c r="CE12" s="10"/>
      <c r="CF12" s="10"/>
      <c r="CG12" s="123">
        <f>SUM(BR12:CF12)</f>
        <v>20579.47</v>
      </c>
    </row>
    <row r="13" spans="1:85" s="35" customFormat="1" x14ac:dyDescent="0.25">
      <c r="A13" s="30">
        <v>12</v>
      </c>
      <c r="B13" s="111">
        <v>45740</v>
      </c>
      <c r="C13" s="49" t="s">
        <v>92</v>
      </c>
      <c r="D13" s="49" t="s">
        <v>93</v>
      </c>
      <c r="E13" s="49" t="s">
        <v>74</v>
      </c>
      <c r="F13" s="49" t="s">
        <v>94</v>
      </c>
      <c r="G13" s="49" t="s">
        <v>10</v>
      </c>
      <c r="H13" s="59">
        <v>613</v>
      </c>
      <c r="I13" s="49" t="s">
        <v>5</v>
      </c>
      <c r="J13" s="47"/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11">
        <f>K13+L13+M13+N13+O13+P13+Q13+R13+T13</f>
        <v>0</v>
      </c>
      <c r="AC13" s="41">
        <f>AB13+AA13+Z13+Y13+X13+V13+U13</f>
        <v>0</v>
      </c>
      <c r="AD13" s="48">
        <v>17</v>
      </c>
      <c r="AE13" s="48">
        <v>0</v>
      </c>
      <c r="AF13" s="48">
        <v>0</v>
      </c>
      <c r="AG13" s="48">
        <v>0</v>
      </c>
      <c r="AH13" s="48">
        <v>0</v>
      </c>
      <c r="AI13" s="48">
        <v>0</v>
      </c>
      <c r="AJ13" s="12">
        <f>AD13+AE13</f>
        <v>17</v>
      </c>
      <c r="AK13" s="41">
        <f>AJ13*AN13</f>
        <v>6800</v>
      </c>
      <c r="AL13" s="41">
        <f>AK13+AI13+AH13+AG13+AF13</f>
        <v>6800</v>
      </c>
      <c r="AM13" s="41">
        <f>AL13+AC13</f>
        <v>6800</v>
      </c>
      <c r="AN13" s="49">
        <v>400</v>
      </c>
      <c r="AO13" s="48">
        <v>70</v>
      </c>
      <c r="AP13" s="48"/>
      <c r="AQ13" s="48"/>
      <c r="AR13" s="48"/>
      <c r="AS13" s="48"/>
      <c r="AT13" s="48"/>
      <c r="AU13" s="48"/>
      <c r="AV13" s="49"/>
      <c r="AW13" s="48"/>
      <c r="AX13" s="45">
        <f>AV13*AW13</f>
        <v>0</v>
      </c>
      <c r="AY13" s="48"/>
      <c r="AZ13" s="48"/>
      <c r="BA13" s="48"/>
      <c r="BB13" s="12">
        <f>AO13+AP13</f>
        <v>70</v>
      </c>
      <c r="BC13" s="41">
        <f>(BB13+AJ13)*AN13+AQ13</f>
        <v>34800</v>
      </c>
      <c r="BD13" s="46">
        <f>BC13+AB13</f>
        <v>34800</v>
      </c>
      <c r="BE13" s="46">
        <f>(BC13+BA13+AY13+AT13)+(AI13+AH13+AC13)+AX13+AZ13+AS13+AR13+AG13+AF13</f>
        <v>34800</v>
      </c>
      <c r="BF13" s="50">
        <f>AV13+AN13</f>
        <v>400</v>
      </c>
      <c r="BH13" s="179">
        <v>0</v>
      </c>
      <c r="BI13" s="179">
        <v>0</v>
      </c>
      <c r="BJ13" s="179">
        <v>0</v>
      </c>
      <c r="BK13" s="179">
        <v>0</v>
      </c>
      <c r="BL13" s="179">
        <v>0</v>
      </c>
      <c r="BM13" s="179">
        <v>0</v>
      </c>
      <c r="BN13" s="179">
        <v>0</v>
      </c>
      <c r="BO13" s="10">
        <f>AP13*AO13</f>
        <v>0</v>
      </c>
      <c r="BP13" s="198"/>
      <c r="BQ13" s="179">
        <v>45</v>
      </c>
      <c r="BR13" s="179">
        <v>1500</v>
      </c>
      <c r="BS13" s="179">
        <v>0</v>
      </c>
      <c r="BT13" s="179"/>
      <c r="BU13" s="179"/>
      <c r="BV13" s="179"/>
      <c r="BW13" s="179"/>
      <c r="BX13" s="179">
        <v>150</v>
      </c>
      <c r="BY13" s="179"/>
      <c r="BZ13" s="179">
        <v>2543.64</v>
      </c>
      <c r="CA13" s="179"/>
      <c r="CB13" s="179"/>
      <c r="CC13" s="179"/>
      <c r="CD13" s="179"/>
      <c r="CE13" s="179"/>
      <c r="CF13" s="179"/>
      <c r="CG13" s="123">
        <f>SUM(BR13:CF13)</f>
        <v>4193.6399999999994</v>
      </c>
    </row>
    <row r="14" spans="1:85" s="35" customFormat="1" x14ac:dyDescent="0.25">
      <c r="A14" s="30">
        <v>13</v>
      </c>
      <c r="B14" s="111">
        <v>45744</v>
      </c>
      <c r="C14" s="49" t="s">
        <v>95</v>
      </c>
      <c r="D14" s="49" t="s">
        <v>16</v>
      </c>
      <c r="E14" s="49" t="s">
        <v>11</v>
      </c>
      <c r="F14" s="49" t="s">
        <v>9</v>
      </c>
      <c r="G14" s="49" t="s">
        <v>10</v>
      </c>
      <c r="H14" s="59">
        <v>604</v>
      </c>
      <c r="I14" s="49" t="s">
        <v>5</v>
      </c>
      <c r="J14" s="47"/>
      <c r="K14" s="48">
        <v>15300</v>
      </c>
      <c r="L14" s="48">
        <v>1500</v>
      </c>
      <c r="M14" s="48"/>
      <c r="N14" s="48">
        <v>8000</v>
      </c>
      <c r="O14" s="48">
        <v>0</v>
      </c>
      <c r="P14" s="48">
        <v>0</v>
      </c>
      <c r="Q14" s="48">
        <v>0</v>
      </c>
      <c r="R14" s="48">
        <v>0</v>
      </c>
      <c r="S14" s="48">
        <v>0</v>
      </c>
      <c r="T14" s="48">
        <v>0</v>
      </c>
      <c r="U14" s="48">
        <v>0</v>
      </c>
      <c r="V14" s="48"/>
      <c r="W14" s="48"/>
      <c r="X14" s="48"/>
      <c r="Y14" s="48"/>
      <c r="Z14" s="48"/>
      <c r="AA14" s="48"/>
      <c r="AB14" s="41">
        <f>K14+L14+M14+N14+O14+P14+Q14+R14+T14</f>
        <v>24800</v>
      </c>
      <c r="AC14" s="41">
        <f>AB14+AA14+Z14+Y14+X14+V14+U14</f>
        <v>24800</v>
      </c>
      <c r="AD14" s="48">
        <v>30</v>
      </c>
      <c r="AE14" s="48">
        <v>35</v>
      </c>
      <c r="AF14" s="48">
        <v>0</v>
      </c>
      <c r="AG14" s="48">
        <v>0</v>
      </c>
      <c r="AH14" s="48">
        <v>7580</v>
      </c>
      <c r="AI14" s="48"/>
      <c r="AJ14" s="12">
        <f>AD14+AE14</f>
        <v>65</v>
      </c>
      <c r="AK14" s="41">
        <f>AJ14*AN14</f>
        <v>30810</v>
      </c>
      <c r="AL14" s="41">
        <f>AK14+AI14+AH14+AG14+AF14</f>
        <v>38390</v>
      </c>
      <c r="AM14" s="41">
        <f>AL14+AC14</f>
        <v>63190</v>
      </c>
      <c r="AN14" s="49">
        <v>474</v>
      </c>
      <c r="AO14" s="48">
        <v>100</v>
      </c>
      <c r="AP14" s="48"/>
      <c r="AQ14" s="48">
        <v>0</v>
      </c>
      <c r="AR14" s="48">
        <v>6636</v>
      </c>
      <c r="AS14" s="48">
        <v>0</v>
      </c>
      <c r="AT14" s="48">
        <v>0</v>
      </c>
      <c r="AU14" s="48">
        <v>0</v>
      </c>
      <c r="AV14" s="49">
        <v>106</v>
      </c>
      <c r="AW14" s="48">
        <v>200</v>
      </c>
      <c r="AX14" s="45">
        <f>AV14*AW14</f>
        <v>21200</v>
      </c>
      <c r="AY14" s="48">
        <v>0</v>
      </c>
      <c r="AZ14" s="48">
        <v>0</v>
      </c>
      <c r="BA14" s="48">
        <v>0</v>
      </c>
      <c r="BB14" s="12">
        <f>AO14+AP14</f>
        <v>100</v>
      </c>
      <c r="BC14" s="41">
        <f>(BB14+AJ14)*AN14+AQ14</f>
        <v>78210</v>
      </c>
      <c r="BD14" s="46">
        <f>BC14+AB14</f>
        <v>103010</v>
      </c>
      <c r="BE14" s="46">
        <f>(BC14+BA14+AY14+AT14)+(AI14+AH14+AC14)+AX14+AZ14+AS14+AR14+AG14+AF14</f>
        <v>138426</v>
      </c>
      <c r="BF14" s="50">
        <f>AV14+AN14</f>
        <v>580</v>
      </c>
      <c r="BH14" s="179">
        <v>0</v>
      </c>
      <c r="BI14" s="179">
        <v>0</v>
      </c>
      <c r="BJ14" s="179">
        <v>0</v>
      </c>
      <c r="BK14" s="179">
        <f>BE14*10%</f>
        <v>13842.6</v>
      </c>
      <c r="BL14" s="179">
        <v>0</v>
      </c>
      <c r="BM14" s="179">
        <v>0</v>
      </c>
      <c r="BN14" s="179">
        <v>0</v>
      </c>
      <c r="BO14" s="10">
        <f>AP14*AO14</f>
        <v>0</v>
      </c>
      <c r="BP14" s="198"/>
      <c r="BQ14" s="179">
        <v>0</v>
      </c>
      <c r="BR14" s="179">
        <v>5450</v>
      </c>
      <c r="BS14" s="179">
        <v>0</v>
      </c>
      <c r="BT14" s="179">
        <f>690+580-160</f>
        <v>1110</v>
      </c>
      <c r="BU14" s="179">
        <v>200</v>
      </c>
      <c r="BV14" s="179">
        <v>250</v>
      </c>
      <c r="BW14" s="179"/>
      <c r="BX14" s="179">
        <v>500</v>
      </c>
      <c r="BY14" s="179"/>
      <c r="BZ14" s="179">
        <v>7556.92</v>
      </c>
      <c r="CA14" s="179">
        <v>5562.26</v>
      </c>
      <c r="CB14" s="179"/>
      <c r="CC14" s="179"/>
      <c r="CD14" s="179"/>
      <c r="CE14" s="179">
        <v>280</v>
      </c>
      <c r="CF14" s="179"/>
      <c r="CG14" s="123">
        <f>SUM(BR14:CF14)</f>
        <v>20909.18</v>
      </c>
    </row>
    <row r="15" spans="1:85" s="35" customFormat="1" x14ac:dyDescent="0.25">
      <c r="A15" s="30">
        <v>14</v>
      </c>
      <c r="B15" s="111">
        <v>45745</v>
      </c>
      <c r="C15" s="49" t="s">
        <v>97</v>
      </c>
      <c r="D15" s="49" t="s">
        <v>19</v>
      </c>
      <c r="E15" s="49" t="s">
        <v>74</v>
      </c>
      <c r="F15" s="49" t="s">
        <v>9</v>
      </c>
      <c r="G15" s="49" t="s">
        <v>10</v>
      </c>
      <c r="H15" s="115">
        <v>320</v>
      </c>
      <c r="I15" s="49" t="s">
        <v>5</v>
      </c>
      <c r="J15" s="47"/>
      <c r="K15" s="48">
        <v>29000</v>
      </c>
      <c r="L15" s="48">
        <v>2900</v>
      </c>
      <c r="M15" s="48">
        <v>2800</v>
      </c>
      <c r="N15" s="48">
        <v>8280</v>
      </c>
      <c r="O15" s="48">
        <v>0</v>
      </c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1">
        <f>K15+L15+M15+N15+O15+P15+Q15+R15+T15</f>
        <v>42980</v>
      </c>
      <c r="AC15" s="41">
        <f>AB15+AA15+Z15+Y15+X15+V15+U15</f>
        <v>42980</v>
      </c>
      <c r="AD15" s="48">
        <v>45</v>
      </c>
      <c r="AE15" s="48">
        <v>34.1</v>
      </c>
      <c r="AF15" s="48"/>
      <c r="AG15" s="48"/>
      <c r="AH15" s="48"/>
      <c r="AI15" s="48"/>
      <c r="AJ15" s="12">
        <f>AD15+AE15</f>
        <v>79.099999999999994</v>
      </c>
      <c r="AK15" s="41">
        <f>AJ15*AN15</f>
        <v>63279.999999999993</v>
      </c>
      <c r="AL15" s="41">
        <f>AK15+AI15+AH15+AG15+AF15</f>
        <v>63279.999999999993</v>
      </c>
      <c r="AM15" s="41">
        <f>AL15+AC15</f>
        <v>106260</v>
      </c>
      <c r="AN15" s="49">
        <v>800</v>
      </c>
      <c r="AO15" s="48">
        <v>90</v>
      </c>
      <c r="AP15" s="48">
        <v>0</v>
      </c>
      <c r="AQ15" s="48">
        <v>0</v>
      </c>
      <c r="AR15" s="48">
        <v>10320</v>
      </c>
      <c r="AS15" s="48"/>
      <c r="AT15" s="48"/>
      <c r="AU15" s="48"/>
      <c r="AV15" s="49">
        <v>60</v>
      </c>
      <c r="AW15" s="48">
        <f>236.659333</f>
        <v>236.659333</v>
      </c>
      <c r="AX15" s="45">
        <f>AV15*AW15</f>
        <v>14199.55998</v>
      </c>
      <c r="AY15" s="48">
        <v>0</v>
      </c>
      <c r="AZ15" s="48">
        <v>8912.82</v>
      </c>
      <c r="BA15" s="48"/>
      <c r="BB15" s="12">
        <f>AO15+AP15</f>
        <v>90</v>
      </c>
      <c r="BC15" s="41">
        <f>(BB15+AJ15)*AN15+AQ15</f>
        <v>135280</v>
      </c>
      <c r="BD15" s="46">
        <f>BC15+AB15</f>
        <v>178260</v>
      </c>
      <c r="BE15" s="46">
        <f>(BC15+BA15+AY15+AT15)+(AI15+AH15+AC15)+AX15+AZ15+AS15+AR15+AG15+AF15</f>
        <v>211692.37998</v>
      </c>
      <c r="BF15" s="50">
        <f>AV15+AN15</f>
        <v>860</v>
      </c>
      <c r="BH15" s="10">
        <v>0</v>
      </c>
      <c r="BI15" s="16">
        <f>BE15*10%</f>
        <v>21169.237998000001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0">
        <f>AP15*AO15</f>
        <v>0</v>
      </c>
      <c r="BP15" s="18"/>
      <c r="BQ15" s="16">
        <v>0</v>
      </c>
      <c r="BR15" s="16">
        <v>5450</v>
      </c>
      <c r="BS15" s="16">
        <v>0</v>
      </c>
      <c r="BT15" s="16">
        <f>580+1010+140</f>
        <v>1730</v>
      </c>
      <c r="BU15" s="16">
        <v>200</v>
      </c>
      <c r="BV15" s="10">
        <v>250</v>
      </c>
      <c r="BW15" s="16"/>
      <c r="BX15" s="16">
        <v>500</v>
      </c>
      <c r="BY15" s="16"/>
      <c r="BZ15" s="16">
        <v>12428.86</v>
      </c>
      <c r="CA15" s="16">
        <v>7058.89</v>
      </c>
      <c r="CB15" s="16"/>
      <c r="CC15" s="16"/>
      <c r="CD15" s="16"/>
      <c r="CE15" s="16"/>
      <c r="CF15" s="16"/>
      <c r="CG15" s="123">
        <f>SUM(BR15:CF15)</f>
        <v>27617.75</v>
      </c>
    </row>
    <row r="16" spans="1:85" s="35" customFormat="1" ht="14.25" customHeight="1" x14ac:dyDescent="0.25">
      <c r="A16" s="30">
        <v>15</v>
      </c>
      <c r="B16" s="111">
        <v>45757</v>
      </c>
      <c r="C16" s="49" t="s">
        <v>98</v>
      </c>
      <c r="D16" s="49" t="s">
        <v>304</v>
      </c>
      <c r="E16" s="49" t="s">
        <v>74</v>
      </c>
      <c r="F16" s="49" t="s">
        <v>90</v>
      </c>
      <c r="G16" s="49" t="s">
        <v>10</v>
      </c>
      <c r="H16" s="59">
        <v>622</v>
      </c>
      <c r="I16" s="49" t="s">
        <v>5</v>
      </c>
      <c r="J16" s="47"/>
      <c r="K16" s="48">
        <v>20000</v>
      </c>
      <c r="L16" s="48">
        <v>2000</v>
      </c>
      <c r="M16" s="48">
        <v>0</v>
      </c>
      <c r="N16" s="48">
        <v>7100</v>
      </c>
      <c r="O16" s="48">
        <v>2200</v>
      </c>
      <c r="P16" s="48">
        <v>0</v>
      </c>
      <c r="Q16" s="48"/>
      <c r="R16" s="48"/>
      <c r="S16" s="48">
        <v>6000</v>
      </c>
      <c r="T16" s="48"/>
      <c r="U16" s="48"/>
      <c r="V16" s="48"/>
      <c r="W16" s="48"/>
      <c r="X16" s="48"/>
      <c r="Y16" s="48"/>
      <c r="Z16" s="48">
        <f>42873.56-AB16</f>
        <v>11573.559999999998</v>
      </c>
      <c r="AA16" s="48"/>
      <c r="AB16" s="41">
        <f>K16+L16+M16+N16+O16+P16+Q16+R16+T16</f>
        <v>31300</v>
      </c>
      <c r="AC16" s="41">
        <f>AB16+AA16+Z16+Y16+X16+V16+U16</f>
        <v>42873.56</v>
      </c>
      <c r="AD16" s="48">
        <v>12</v>
      </c>
      <c r="AE16" s="48">
        <v>0</v>
      </c>
      <c r="AF16" s="48">
        <v>0</v>
      </c>
      <c r="AG16" s="48">
        <v>0</v>
      </c>
      <c r="AH16" s="48">
        <v>0</v>
      </c>
      <c r="AI16" s="48">
        <v>0</v>
      </c>
      <c r="AJ16" s="43">
        <f>AD16+AE16</f>
        <v>12</v>
      </c>
      <c r="AK16" s="41">
        <f>AJ16*AN16</f>
        <v>4800</v>
      </c>
      <c r="AL16" s="41">
        <f>AK16+AI16+AH16+AG16+AF16</f>
        <v>4800</v>
      </c>
      <c r="AM16" s="41">
        <f>AL16+AC16</f>
        <v>47673.56</v>
      </c>
      <c r="AN16" s="49">
        <v>400</v>
      </c>
      <c r="AO16" s="48">
        <v>29.9</v>
      </c>
      <c r="AP16" s="48"/>
      <c r="AQ16" s="48">
        <v>3140</v>
      </c>
      <c r="AR16" s="48"/>
      <c r="AS16" s="48"/>
      <c r="AT16" s="48"/>
      <c r="AU16" s="48"/>
      <c r="AV16" s="49"/>
      <c r="AW16" s="48"/>
      <c r="AX16" s="45"/>
      <c r="AY16" s="48"/>
      <c r="AZ16" s="48"/>
      <c r="BA16" s="48">
        <v>7157.47</v>
      </c>
      <c r="BB16" s="12">
        <f>AO16+AP16</f>
        <v>29.9</v>
      </c>
      <c r="BC16" s="41">
        <f>(BB16+AJ16)*AN16+AQ16</f>
        <v>19900</v>
      </c>
      <c r="BD16" s="46">
        <f>BC16+AB16</f>
        <v>51200</v>
      </c>
      <c r="BE16" s="46">
        <f>(BC16+BA16+AY16+AT16)+(AI16+AH16+AC16)+AX16+AZ16+AS16+AR16+AG16+AF16</f>
        <v>69931.03</v>
      </c>
      <c r="BF16" s="50"/>
      <c r="BH16" s="10"/>
      <c r="BI16" s="16"/>
      <c r="BJ16" s="16"/>
      <c r="BK16" s="16"/>
      <c r="BL16" s="16"/>
      <c r="BM16" s="16"/>
      <c r="BN16" s="16"/>
      <c r="BO16" s="10">
        <f>AP16*AO16</f>
        <v>0</v>
      </c>
      <c r="BP16" s="18"/>
      <c r="BQ16" s="16"/>
      <c r="BR16" s="16"/>
      <c r="BS16" s="16"/>
      <c r="BT16" s="16"/>
      <c r="BU16" s="16"/>
      <c r="BV16" s="10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23">
        <f>SUM(BR16:CF16)</f>
        <v>0</v>
      </c>
    </row>
    <row r="17" spans="1:85" s="35" customFormat="1" x14ac:dyDescent="0.25">
      <c r="A17" s="30">
        <v>16</v>
      </c>
      <c r="B17" s="112">
        <v>45758</v>
      </c>
      <c r="C17" s="110" t="s">
        <v>99</v>
      </c>
      <c r="D17" s="110" t="s">
        <v>79</v>
      </c>
      <c r="E17" s="110" t="s">
        <v>3</v>
      </c>
      <c r="F17" s="110" t="s">
        <v>9</v>
      </c>
      <c r="G17" s="110" t="s">
        <v>10</v>
      </c>
      <c r="H17" s="59">
        <v>579</v>
      </c>
      <c r="I17" s="110" t="s">
        <v>5</v>
      </c>
      <c r="J17" s="47"/>
      <c r="K17" s="48">
        <v>0</v>
      </c>
      <c r="L17" s="48">
        <v>2200</v>
      </c>
      <c r="M17" s="48">
        <v>1800</v>
      </c>
      <c r="N17" s="48">
        <v>1000</v>
      </c>
      <c r="O17" s="48">
        <f>3750+1600</f>
        <v>5350</v>
      </c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>
        <v>2500</v>
      </c>
      <c r="AB17" s="41">
        <f>K17+L17+M17+N17+O17+P17+Q17+R17+T17</f>
        <v>10350</v>
      </c>
      <c r="AC17" s="41">
        <f>AB17+AA17+Z17+Y17+X17+V17+U17</f>
        <v>12850</v>
      </c>
      <c r="AD17" s="48">
        <v>35</v>
      </c>
      <c r="AE17" s="48">
        <v>0</v>
      </c>
      <c r="AF17" s="48">
        <v>0</v>
      </c>
      <c r="AG17" s="48">
        <v>0</v>
      </c>
      <c r="AH17" s="48">
        <v>0</v>
      </c>
      <c r="AI17" s="48">
        <v>0</v>
      </c>
      <c r="AJ17" s="43">
        <f>AD17+AE17</f>
        <v>35</v>
      </c>
      <c r="AK17" s="41">
        <f>AJ17*AN17</f>
        <v>10500</v>
      </c>
      <c r="AL17" s="41">
        <f>AK17+AI17+AH17+AG17+AF17</f>
        <v>10500</v>
      </c>
      <c r="AM17" s="41">
        <f>AL17+AC17</f>
        <v>23350</v>
      </c>
      <c r="AN17" s="49">
        <v>300</v>
      </c>
      <c r="AO17" s="48">
        <v>90</v>
      </c>
      <c r="AP17" s="48">
        <v>0</v>
      </c>
      <c r="AQ17" s="48">
        <v>0</v>
      </c>
      <c r="AR17" s="48"/>
      <c r="AS17" s="48"/>
      <c r="AT17" s="48"/>
      <c r="AU17" s="48"/>
      <c r="AV17" s="49"/>
      <c r="AW17" s="48"/>
      <c r="AX17" s="45">
        <f>AV17*AW17</f>
        <v>0</v>
      </c>
      <c r="AY17" s="48"/>
      <c r="AZ17" s="48"/>
      <c r="BA17" s="48"/>
      <c r="BB17" s="12">
        <f>AO17+AP17</f>
        <v>90</v>
      </c>
      <c r="BC17" s="41">
        <f>(BB17+AJ17)*AN17+AQ17</f>
        <v>37500</v>
      </c>
      <c r="BD17" s="46">
        <f>BC17+AB17</f>
        <v>47850</v>
      </c>
      <c r="BE17" s="46">
        <f>(BC17+BA17+AY17+AT17)+(AI17+AH17+AC17)+AX17+AZ17+AS17+AR17+AG17+AF17</f>
        <v>50350</v>
      </c>
      <c r="BF17" s="50">
        <f>AV17+AN17</f>
        <v>300</v>
      </c>
      <c r="BH17" s="179">
        <f>BE17*10%</f>
        <v>5035</v>
      </c>
      <c r="BI17" s="179">
        <v>0</v>
      </c>
      <c r="BJ17" s="179">
        <v>0</v>
      </c>
      <c r="BK17" s="179">
        <v>0</v>
      </c>
      <c r="BL17" s="179">
        <v>0</v>
      </c>
      <c r="BM17" s="179">
        <v>0</v>
      </c>
      <c r="BN17" s="179">
        <v>0</v>
      </c>
      <c r="BO17" s="10">
        <f>AP17*AO17</f>
        <v>0</v>
      </c>
      <c r="BP17" s="198"/>
      <c r="BQ17" s="179">
        <v>0</v>
      </c>
      <c r="BR17" s="179">
        <v>5450</v>
      </c>
      <c r="BS17" s="179">
        <v>1000</v>
      </c>
      <c r="BT17" s="179">
        <v>990</v>
      </c>
      <c r="BU17" s="179">
        <v>200</v>
      </c>
      <c r="BV17" s="179">
        <v>200</v>
      </c>
      <c r="BW17" s="179"/>
      <c r="BX17" s="179"/>
      <c r="BY17" s="179"/>
      <c r="BZ17" s="180"/>
      <c r="CA17" s="180"/>
      <c r="CB17" s="179"/>
      <c r="CC17" s="179"/>
      <c r="CD17" s="179"/>
      <c r="CE17" s="179"/>
      <c r="CF17" s="179"/>
      <c r="CG17" s="123">
        <f>SUM(BR17:CF17)</f>
        <v>7840</v>
      </c>
    </row>
    <row r="18" spans="1:85" s="35" customFormat="1" x14ac:dyDescent="0.25">
      <c r="A18" s="30">
        <v>17</v>
      </c>
      <c r="B18" s="112">
        <v>45766</v>
      </c>
      <c r="C18" s="110" t="s">
        <v>100</v>
      </c>
      <c r="D18" s="110" t="s">
        <v>0</v>
      </c>
      <c r="E18" s="110" t="s">
        <v>11</v>
      </c>
      <c r="F18" s="110" t="s">
        <v>101</v>
      </c>
      <c r="G18" s="110" t="s">
        <v>4</v>
      </c>
      <c r="H18" s="59">
        <v>603</v>
      </c>
      <c r="I18" s="110" t="s">
        <v>5</v>
      </c>
      <c r="J18" s="47"/>
      <c r="K18" s="48">
        <v>33800</v>
      </c>
      <c r="L18" s="48">
        <v>0</v>
      </c>
      <c r="M18" s="48">
        <v>0</v>
      </c>
      <c r="N18" s="48">
        <v>10020</v>
      </c>
      <c r="O18" s="48">
        <v>4180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8">
        <v>7875</v>
      </c>
      <c r="AB18" s="41">
        <f>K18+L18+M18+N18+O18+P18+Q18+R18+T18</f>
        <v>48000</v>
      </c>
      <c r="AC18" s="41">
        <f>AB18+AA18+Z18+Y18+X18+V18+U18</f>
        <v>55875</v>
      </c>
      <c r="AD18" s="48">
        <v>0</v>
      </c>
      <c r="AE18" s="48">
        <v>0</v>
      </c>
      <c r="AF18" s="48">
        <v>0</v>
      </c>
      <c r="AG18" s="48">
        <v>0</v>
      </c>
      <c r="AH18" s="48">
        <v>0</v>
      </c>
      <c r="AI18" s="48">
        <v>504</v>
      </c>
      <c r="AJ18" s="43">
        <f>AD18+AE18</f>
        <v>0</v>
      </c>
      <c r="AK18" s="41">
        <f>AJ18*AN18</f>
        <v>0</v>
      </c>
      <c r="AL18" s="41">
        <f>AK18+AI18+AH18+AG18+AF18</f>
        <v>504</v>
      </c>
      <c r="AM18" s="41">
        <f>AL18+AC18</f>
        <v>56379</v>
      </c>
      <c r="AN18" s="49"/>
      <c r="AO18" s="48"/>
      <c r="AP18" s="48"/>
      <c r="AQ18" s="48"/>
      <c r="AR18" s="48"/>
      <c r="AS18" s="48"/>
      <c r="AT18" s="48"/>
      <c r="AU18" s="48"/>
      <c r="AV18" s="49"/>
      <c r="AW18" s="48"/>
      <c r="AX18" s="45">
        <f>AV18*AW18</f>
        <v>0</v>
      </c>
      <c r="AY18" s="48"/>
      <c r="AZ18" s="48"/>
      <c r="BA18" s="48"/>
      <c r="BB18" s="12">
        <f>AO18+AP18</f>
        <v>0</v>
      </c>
      <c r="BC18" s="41">
        <f>(BB18+AJ18)*AN18+AQ18</f>
        <v>0</v>
      </c>
      <c r="BD18" s="46">
        <f>BC18+AB18</f>
        <v>48000</v>
      </c>
      <c r="BE18" s="46">
        <f>(BC18+BA18+AY18+AT18)+(AI18+AH18+AC18)+AX18+AZ18+AS18+AR18+AG18+AF18</f>
        <v>56379</v>
      </c>
      <c r="BF18" s="50">
        <f>AV18+AN18</f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0">
        <f>AP18*AO18</f>
        <v>0</v>
      </c>
      <c r="BP18" s="18"/>
      <c r="BQ18" s="16">
        <v>0</v>
      </c>
      <c r="BR18" s="16">
        <v>1500</v>
      </c>
      <c r="BS18" s="16">
        <v>0</v>
      </c>
      <c r="BT18" s="16">
        <v>0</v>
      </c>
      <c r="BU18" s="16">
        <v>200</v>
      </c>
      <c r="BV18" s="16">
        <v>200</v>
      </c>
      <c r="BW18" s="16"/>
      <c r="BX18" s="16"/>
      <c r="BY18" s="16"/>
      <c r="BZ18" s="29"/>
      <c r="CA18" s="29"/>
      <c r="CB18" s="16"/>
      <c r="CC18" s="16"/>
      <c r="CD18" s="16"/>
      <c r="CE18" s="16"/>
      <c r="CF18" s="16"/>
      <c r="CG18" s="123">
        <f>SUM(BR18:CF18)</f>
        <v>1900</v>
      </c>
    </row>
    <row r="19" spans="1:85" s="35" customFormat="1" x14ac:dyDescent="0.25">
      <c r="A19" s="30">
        <v>18</v>
      </c>
      <c r="B19" s="112">
        <v>45772</v>
      </c>
      <c r="C19" s="110" t="s">
        <v>102</v>
      </c>
      <c r="D19" s="110" t="s">
        <v>402</v>
      </c>
      <c r="E19" s="110" t="s">
        <v>11</v>
      </c>
      <c r="F19" s="110" t="s">
        <v>9</v>
      </c>
      <c r="G19" s="110" t="s">
        <v>2</v>
      </c>
      <c r="H19" s="59">
        <v>576</v>
      </c>
      <c r="I19" s="110" t="s">
        <v>5</v>
      </c>
      <c r="J19" s="47"/>
      <c r="K19" s="48">
        <v>18630</v>
      </c>
      <c r="L19" s="48">
        <v>1863</v>
      </c>
      <c r="M19" s="58">
        <v>1800</v>
      </c>
      <c r="N19" s="48">
        <v>6300</v>
      </c>
      <c r="O19" s="48"/>
      <c r="P19" s="48"/>
      <c r="Q19" s="48"/>
      <c r="R19" s="48"/>
      <c r="S19" s="48"/>
      <c r="T19" s="48"/>
      <c r="U19" s="48">
        <f>13*125</f>
        <v>1625</v>
      </c>
      <c r="V19" s="48">
        <v>950</v>
      </c>
      <c r="W19" s="48"/>
      <c r="X19" s="48"/>
      <c r="Y19" s="48"/>
      <c r="Z19" s="48"/>
      <c r="AA19" s="48"/>
      <c r="AB19" s="41">
        <f>K19+L19+M19+N19+O19+P19+Q19+R19+T19-593</f>
        <v>28000</v>
      </c>
      <c r="AC19" s="41">
        <f>AB19+AA19+Z19+Y19+X19+V19+U19</f>
        <v>30575</v>
      </c>
      <c r="AD19" s="48">
        <v>37</v>
      </c>
      <c r="AE19" s="48">
        <f>35+65</f>
        <v>100</v>
      </c>
      <c r="AF19" s="48">
        <v>0</v>
      </c>
      <c r="AG19" s="48">
        <v>0</v>
      </c>
      <c r="AH19" s="48">
        <v>0</v>
      </c>
      <c r="AI19" s="48">
        <v>0</v>
      </c>
      <c r="AJ19" s="43">
        <f>AD19+AE19</f>
        <v>137</v>
      </c>
      <c r="AK19" s="41">
        <f>AJ19*AN19</f>
        <v>47950</v>
      </c>
      <c r="AL19" s="41">
        <f>AK19+AI19+AH19+AG19+AF19</f>
        <v>47950</v>
      </c>
      <c r="AM19" s="41">
        <f>AL19+AC19</f>
        <v>78525</v>
      </c>
      <c r="AN19" s="49">
        <v>350</v>
      </c>
      <c r="AO19" s="48">
        <v>96</v>
      </c>
      <c r="AP19" s="48">
        <v>0</v>
      </c>
      <c r="AQ19" s="48">
        <v>0</v>
      </c>
      <c r="AR19" s="48"/>
      <c r="AS19" s="48"/>
      <c r="AT19" s="48"/>
      <c r="AU19" s="48"/>
      <c r="AV19" s="49">
        <v>37</v>
      </c>
      <c r="AW19" s="48">
        <v>234</v>
      </c>
      <c r="AX19" s="45">
        <f>AV19*AW19</f>
        <v>8658</v>
      </c>
      <c r="AY19" s="48">
        <v>0</v>
      </c>
      <c r="AZ19" s="48">
        <v>0</v>
      </c>
      <c r="BA19" s="48">
        <v>0</v>
      </c>
      <c r="BB19" s="12">
        <f>AO19+AP19</f>
        <v>96</v>
      </c>
      <c r="BC19" s="41">
        <f>(BB19+AJ19)*AN19+AQ19</f>
        <v>81550</v>
      </c>
      <c r="BD19" s="46">
        <f>BC19+AB19</f>
        <v>109550</v>
      </c>
      <c r="BE19" s="46">
        <f>(BC19+BA19+AY19+AT19)+(AI19+AH19+AC19)+AX19+AZ19+AS19+AR19+AG19+AF19</f>
        <v>120783</v>
      </c>
      <c r="BF19" s="50">
        <f>AV19+AN19</f>
        <v>387</v>
      </c>
      <c r="BH19" s="10">
        <v>0</v>
      </c>
      <c r="BI19" s="16">
        <v>0</v>
      </c>
      <c r="BJ19" s="16">
        <f>BE19*10%</f>
        <v>12078.300000000001</v>
      </c>
      <c r="BK19" s="16">
        <v>0</v>
      </c>
      <c r="BL19" s="16">
        <v>0</v>
      </c>
      <c r="BM19" s="16">
        <v>0</v>
      </c>
      <c r="BN19" s="16">
        <v>0</v>
      </c>
      <c r="BO19" s="10">
        <f>AP19*AO19</f>
        <v>0</v>
      </c>
      <c r="BP19" s="18"/>
      <c r="BQ19" s="16">
        <v>0</v>
      </c>
      <c r="BR19" s="16">
        <v>5450</v>
      </c>
      <c r="BS19" s="16">
        <v>0</v>
      </c>
      <c r="BT19" s="16">
        <v>930</v>
      </c>
      <c r="BU19" s="16">
        <v>200</v>
      </c>
      <c r="BV19" s="16">
        <v>200</v>
      </c>
      <c r="BW19" s="16"/>
      <c r="BX19" s="16"/>
      <c r="BY19" s="16"/>
      <c r="BZ19" s="29"/>
      <c r="CA19" s="29"/>
      <c r="CB19" s="16"/>
      <c r="CC19" s="16"/>
      <c r="CD19" s="16"/>
      <c r="CE19" s="16"/>
      <c r="CF19" s="16"/>
      <c r="CG19" s="123">
        <f>SUM(BR19:CF19)</f>
        <v>6780</v>
      </c>
    </row>
    <row r="20" spans="1:85" s="35" customFormat="1" x14ac:dyDescent="0.25">
      <c r="A20" s="30">
        <v>19</v>
      </c>
      <c r="B20" s="112">
        <v>45773</v>
      </c>
      <c r="C20" s="110" t="s">
        <v>103</v>
      </c>
      <c r="D20" s="110" t="s">
        <v>84</v>
      </c>
      <c r="E20" s="110" t="s">
        <v>74</v>
      </c>
      <c r="F20" s="110" t="s">
        <v>9</v>
      </c>
      <c r="G20" s="110" t="s">
        <v>10</v>
      </c>
      <c r="H20" s="115">
        <v>380</v>
      </c>
      <c r="I20" s="110" t="s">
        <v>5</v>
      </c>
      <c r="J20" s="59"/>
      <c r="K20" s="45">
        <v>27104</v>
      </c>
      <c r="L20" s="45">
        <v>2710</v>
      </c>
      <c r="M20" s="45">
        <v>1800</v>
      </c>
      <c r="N20" s="45">
        <f>2200+1400+4600</f>
        <v>8200</v>
      </c>
      <c r="O20" s="45">
        <v>0</v>
      </c>
      <c r="P20" s="45">
        <v>0</v>
      </c>
      <c r="Q20" s="45">
        <v>0</v>
      </c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1">
        <f>K20+L20+M20+N20+O20+P20+Q20+R20+T20-2710</f>
        <v>37104</v>
      </c>
      <c r="AC20" s="41">
        <f>AB20+AA20+Z20+Y20+X20+V20+U20</f>
        <v>37104</v>
      </c>
      <c r="AD20" s="45">
        <f>40-8</f>
        <v>32</v>
      </c>
      <c r="AE20" s="45">
        <f>40-8</f>
        <v>32</v>
      </c>
      <c r="AF20" s="45"/>
      <c r="AG20" s="45"/>
      <c r="AH20" s="45"/>
      <c r="AI20" s="45"/>
      <c r="AJ20" s="43">
        <f>AD20+AE20</f>
        <v>64</v>
      </c>
      <c r="AK20" s="41">
        <f>AJ20*AN20</f>
        <v>38400</v>
      </c>
      <c r="AL20" s="41">
        <f>AK20+AI20+AH20+AG20+AF20</f>
        <v>38400</v>
      </c>
      <c r="AM20" s="41">
        <f>AL20+AC20</f>
        <v>75504</v>
      </c>
      <c r="AN20" s="49">
        <v>600</v>
      </c>
      <c r="AO20" s="45">
        <f>99</f>
        <v>99</v>
      </c>
      <c r="AP20" s="45">
        <v>0</v>
      </c>
      <c r="AQ20" s="45">
        <v>0</v>
      </c>
      <c r="AR20" s="45">
        <v>6000</v>
      </c>
      <c r="AS20" s="45"/>
      <c r="AT20" s="45"/>
      <c r="AU20" s="45"/>
      <c r="AV20" s="49">
        <v>122.5</v>
      </c>
      <c r="AW20" s="45">
        <v>230</v>
      </c>
      <c r="AX20" s="45">
        <f>AV20*AW20</f>
        <v>28175</v>
      </c>
      <c r="AY20" s="45"/>
      <c r="AZ20" s="45"/>
      <c r="BA20" s="45"/>
      <c r="BB20" s="12">
        <f>AO20+AP20</f>
        <v>99</v>
      </c>
      <c r="BC20" s="41">
        <f>(BB20+AJ20)*AN20+AQ20</f>
        <v>97800</v>
      </c>
      <c r="BD20" s="46">
        <f>BC20+AB20</f>
        <v>134904</v>
      </c>
      <c r="BE20" s="46">
        <f>(BC20+BA20+AY20+AT20)+(AI20+AH20+AC20)+AX20+AZ20+AS20+AR20+AG20+AF20</f>
        <v>169079</v>
      </c>
      <c r="BF20" s="50">
        <f>AV20+AN20</f>
        <v>722.5</v>
      </c>
      <c r="BG20" s="86"/>
      <c r="BH20" s="10">
        <v>0</v>
      </c>
      <c r="BI20" s="10">
        <f>BE20*10%</f>
        <v>16907.900000000001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f>AP20*AO20</f>
        <v>0</v>
      </c>
      <c r="BP20" s="10"/>
      <c r="BQ20" s="10">
        <v>0</v>
      </c>
      <c r="BR20" s="10">
        <v>5450</v>
      </c>
      <c r="BS20" s="10">
        <v>0</v>
      </c>
      <c r="BT20" s="10">
        <v>1570</v>
      </c>
      <c r="BU20" s="10">
        <v>200</v>
      </c>
      <c r="BV20" s="10">
        <v>200</v>
      </c>
      <c r="BW20" s="10"/>
      <c r="BX20" s="10"/>
      <c r="BY20" s="10"/>
      <c r="BZ20" s="29"/>
      <c r="CA20" s="29"/>
      <c r="CB20" s="10"/>
      <c r="CC20" s="10"/>
      <c r="CD20" s="10"/>
      <c r="CE20" s="10"/>
      <c r="CF20" s="10"/>
      <c r="CG20" s="123">
        <f>SUM(BR20:CF20)</f>
        <v>7420</v>
      </c>
    </row>
    <row r="21" spans="1:85" s="35" customFormat="1" x14ac:dyDescent="0.25">
      <c r="A21" s="30">
        <v>20</v>
      </c>
      <c r="B21" s="112">
        <v>45774</v>
      </c>
      <c r="C21" s="110" t="s">
        <v>104</v>
      </c>
      <c r="D21" s="110" t="s">
        <v>5</v>
      </c>
      <c r="E21" s="110" t="s">
        <v>74</v>
      </c>
      <c r="F21" s="110" t="s">
        <v>7</v>
      </c>
      <c r="G21" s="110" t="s">
        <v>10</v>
      </c>
      <c r="H21" s="59">
        <v>629</v>
      </c>
      <c r="I21" s="110" t="s">
        <v>5</v>
      </c>
      <c r="J21" s="47"/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  <c r="AA21" s="48">
        <v>0</v>
      </c>
      <c r="AB21" s="11">
        <f>K21+L21+M21+N21+O21+P21+Q21+R21+T21</f>
        <v>0</v>
      </c>
      <c r="AC21" s="41"/>
      <c r="AD21" s="48">
        <v>0</v>
      </c>
      <c r="AE21" s="48">
        <v>0</v>
      </c>
      <c r="AF21" s="48">
        <v>0</v>
      </c>
      <c r="AG21" s="48">
        <v>0</v>
      </c>
      <c r="AH21" s="48">
        <v>0</v>
      </c>
      <c r="AI21" s="48">
        <v>0</v>
      </c>
      <c r="AJ21" s="43">
        <v>0</v>
      </c>
      <c r="AK21" s="41">
        <v>0</v>
      </c>
      <c r="AL21" s="41">
        <f>AK21+AI21+AH21+AG21+AF21</f>
        <v>0</v>
      </c>
      <c r="AM21" s="41">
        <f>AL21+AC21</f>
        <v>0</v>
      </c>
      <c r="AN21" s="49"/>
      <c r="AO21" s="48">
        <v>0</v>
      </c>
      <c r="AP21" s="48">
        <v>0</v>
      </c>
      <c r="AQ21" s="48">
        <v>0</v>
      </c>
      <c r="AR21" s="48">
        <v>0</v>
      </c>
      <c r="AS21" s="48">
        <v>0</v>
      </c>
      <c r="AT21" s="48">
        <v>0</v>
      </c>
      <c r="AU21" s="48">
        <v>0</v>
      </c>
      <c r="AV21" s="49"/>
      <c r="AW21" s="48">
        <v>0</v>
      </c>
      <c r="AX21" s="45">
        <f>AV21*AW21</f>
        <v>0</v>
      </c>
      <c r="AY21" s="48">
        <v>0</v>
      </c>
      <c r="AZ21" s="48">
        <v>0</v>
      </c>
      <c r="BA21" s="48"/>
      <c r="BB21" s="12">
        <f>AO21+AP21</f>
        <v>0</v>
      </c>
      <c r="BC21" s="41">
        <f>(BB21+AJ21)*AN21+AQ21</f>
        <v>0</v>
      </c>
      <c r="BD21" s="46">
        <f>BC21+AB21</f>
        <v>0</v>
      </c>
      <c r="BE21" s="46"/>
      <c r="BF21" s="50">
        <f>AV21+AN21</f>
        <v>0</v>
      </c>
      <c r="BH21" s="179">
        <v>0</v>
      </c>
      <c r="BI21" s="179">
        <v>0</v>
      </c>
      <c r="BJ21" s="179">
        <v>0</v>
      </c>
      <c r="BK21" s="179">
        <v>0</v>
      </c>
      <c r="BL21" s="179">
        <v>0</v>
      </c>
      <c r="BM21" s="179">
        <v>0</v>
      </c>
      <c r="BN21" s="179">
        <v>0</v>
      </c>
      <c r="BO21" s="10">
        <f>AP21*AO21</f>
        <v>0</v>
      </c>
      <c r="BP21" s="199"/>
      <c r="BQ21" s="179"/>
      <c r="BR21" s="179"/>
      <c r="BS21" s="179"/>
      <c r="BT21" s="179"/>
      <c r="BU21" s="179"/>
      <c r="BV21" s="179"/>
      <c r="BW21" s="179"/>
      <c r="BX21" s="179"/>
      <c r="BY21" s="179"/>
      <c r="BZ21" s="179"/>
      <c r="CA21" s="179"/>
      <c r="CB21" s="179"/>
      <c r="CC21" s="179"/>
      <c r="CD21" s="179"/>
      <c r="CE21" s="179"/>
      <c r="CF21" s="179"/>
      <c r="CG21" s="123">
        <f>SUM(BR21:CF21)</f>
        <v>0</v>
      </c>
    </row>
    <row r="22" spans="1:85" s="35" customFormat="1" x14ac:dyDescent="0.25">
      <c r="A22" s="30">
        <v>21</v>
      </c>
      <c r="B22" s="111">
        <v>45780</v>
      </c>
      <c r="C22" s="49" t="s">
        <v>105</v>
      </c>
      <c r="D22" s="49" t="s">
        <v>93</v>
      </c>
      <c r="E22" s="49" t="s">
        <v>74</v>
      </c>
      <c r="F22" s="49" t="s">
        <v>106</v>
      </c>
      <c r="G22" s="49" t="s">
        <v>10</v>
      </c>
      <c r="H22" s="59">
        <v>626</v>
      </c>
      <c r="I22" s="49" t="s">
        <v>5</v>
      </c>
      <c r="J22" s="47"/>
      <c r="K22" s="48">
        <v>0</v>
      </c>
      <c r="L22" s="48">
        <v>0</v>
      </c>
      <c r="M22" s="48">
        <v>0</v>
      </c>
      <c r="N22" s="48">
        <v>2500</v>
      </c>
      <c r="O22" s="48">
        <v>500</v>
      </c>
      <c r="P22" s="48">
        <v>500</v>
      </c>
      <c r="Q22" s="48">
        <v>0</v>
      </c>
      <c r="R22" s="48">
        <v>0</v>
      </c>
      <c r="S22" s="48">
        <v>0</v>
      </c>
      <c r="T22" s="48">
        <v>0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11">
        <f>K22+L22+M22+N22+O22+P22+Q22+R22+T22</f>
        <v>3500</v>
      </c>
      <c r="AC22" s="41">
        <f>AB22+AA22+Z22+Y22+X22+V22+U22</f>
        <v>3500</v>
      </c>
      <c r="AD22" s="48">
        <v>6</v>
      </c>
      <c r="AE22" s="48">
        <v>0</v>
      </c>
      <c r="AF22" s="48">
        <v>0</v>
      </c>
      <c r="AG22" s="48">
        <v>0</v>
      </c>
      <c r="AH22" s="48">
        <v>0</v>
      </c>
      <c r="AI22" s="48">
        <v>0</v>
      </c>
      <c r="AJ22" s="43">
        <f>AD22+AE22</f>
        <v>6</v>
      </c>
      <c r="AK22" s="41">
        <f>AJ22*AN22</f>
        <v>3120</v>
      </c>
      <c r="AL22" s="41">
        <f>AK22+AI22+AH22+AG22+AF22</f>
        <v>3120</v>
      </c>
      <c r="AM22" s="41">
        <f>AL22+AC22</f>
        <v>6620</v>
      </c>
      <c r="AN22" s="49">
        <v>520</v>
      </c>
      <c r="AO22" s="48">
        <v>33</v>
      </c>
      <c r="AP22" s="48">
        <v>0</v>
      </c>
      <c r="AQ22" s="48">
        <v>0</v>
      </c>
      <c r="AR22" s="48">
        <v>0</v>
      </c>
      <c r="AS22" s="48">
        <v>0</v>
      </c>
      <c r="AT22" s="48">
        <v>0</v>
      </c>
      <c r="AU22" s="48">
        <v>0</v>
      </c>
      <c r="AV22" s="49">
        <v>70</v>
      </c>
      <c r="AW22" s="48"/>
      <c r="AX22" s="45"/>
      <c r="AY22" s="48">
        <v>0</v>
      </c>
      <c r="AZ22" s="48">
        <v>0</v>
      </c>
      <c r="BA22" s="48">
        <v>2406.67</v>
      </c>
      <c r="BB22" s="12">
        <f>AO22+AP22</f>
        <v>33</v>
      </c>
      <c r="BC22" s="41">
        <f>(BB22+AJ22)*AN22+AQ22</f>
        <v>20280</v>
      </c>
      <c r="BD22" s="46">
        <f>BC22+AB22</f>
        <v>23780</v>
      </c>
      <c r="BE22" s="46">
        <f>(BC22+BA22+AY22+AT22)+(AI22+AH22+AC22)+AX22+AZ22+AS22+AR22+AG22+AF22</f>
        <v>26186.67</v>
      </c>
      <c r="BF22" s="50">
        <f>AV22+AN22</f>
        <v>590</v>
      </c>
      <c r="BH22" s="179">
        <v>0</v>
      </c>
      <c r="BI22" s="179">
        <v>0</v>
      </c>
      <c r="BJ22" s="179">
        <v>0</v>
      </c>
      <c r="BK22" s="179">
        <v>0</v>
      </c>
      <c r="BL22" s="179">
        <v>0</v>
      </c>
      <c r="BM22" s="179">
        <v>0</v>
      </c>
      <c r="BN22" s="179">
        <v>0</v>
      </c>
      <c r="BO22" s="10">
        <f>AP22*AO22</f>
        <v>0</v>
      </c>
      <c r="BP22" s="199"/>
      <c r="BQ22" s="179">
        <v>120</v>
      </c>
      <c r="BR22" s="179"/>
      <c r="BS22" s="179"/>
      <c r="BT22" s="179"/>
      <c r="BU22" s="179"/>
      <c r="BV22" s="179"/>
      <c r="BW22" s="179"/>
      <c r="BX22" s="179"/>
      <c r="BY22" s="179"/>
      <c r="BZ22" s="179"/>
      <c r="CA22" s="179"/>
      <c r="CB22" s="179"/>
      <c r="CC22" s="179"/>
      <c r="CD22" s="179"/>
      <c r="CE22" s="179"/>
      <c r="CF22" s="179"/>
      <c r="CG22" s="123">
        <f>SUM(BR22:CF22)</f>
        <v>0</v>
      </c>
    </row>
    <row r="23" spans="1:85" s="35" customFormat="1" x14ac:dyDescent="0.25">
      <c r="A23" s="30">
        <v>22</v>
      </c>
      <c r="B23" s="111">
        <v>45782</v>
      </c>
      <c r="C23" s="49" t="s">
        <v>107</v>
      </c>
      <c r="D23" s="49" t="s">
        <v>93</v>
      </c>
      <c r="E23" s="49" t="s">
        <v>74</v>
      </c>
      <c r="F23" s="49" t="s">
        <v>106</v>
      </c>
      <c r="G23" s="49" t="s">
        <v>10</v>
      </c>
      <c r="H23" s="59">
        <v>633</v>
      </c>
      <c r="I23" s="49" t="s">
        <v>5</v>
      </c>
      <c r="J23" s="47"/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  <c r="Q23" s="48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v>0</v>
      </c>
      <c r="X23" s="48">
        <v>0</v>
      </c>
      <c r="Y23" s="48">
        <v>0</v>
      </c>
      <c r="Z23" s="48">
        <v>0</v>
      </c>
      <c r="AA23" s="48">
        <v>0</v>
      </c>
      <c r="AB23" s="11">
        <f>K23+L23+M23+N23+O23+P23+Q23+R23+T23</f>
        <v>0</v>
      </c>
      <c r="AC23" s="41"/>
      <c r="AD23" s="48">
        <v>17</v>
      </c>
      <c r="AE23" s="48">
        <v>0</v>
      </c>
      <c r="AF23" s="48">
        <v>0</v>
      </c>
      <c r="AG23" s="48">
        <v>0</v>
      </c>
      <c r="AH23" s="48">
        <v>0</v>
      </c>
      <c r="AI23" s="48">
        <v>0</v>
      </c>
      <c r="AJ23" s="43">
        <f>AD23+AE23</f>
        <v>17</v>
      </c>
      <c r="AK23" s="41">
        <f>AJ23*AN23</f>
        <v>6800</v>
      </c>
      <c r="AL23" s="41">
        <f>AK23+AI23+AH23+AG23+AF23</f>
        <v>6800</v>
      </c>
      <c r="AM23" s="41">
        <f>AL23+AC23</f>
        <v>6800</v>
      </c>
      <c r="AN23" s="49">
        <v>400</v>
      </c>
      <c r="AO23" s="48">
        <v>70</v>
      </c>
      <c r="AP23" s="48">
        <v>0</v>
      </c>
      <c r="AQ23" s="48">
        <v>0</v>
      </c>
      <c r="AR23" s="48">
        <v>0</v>
      </c>
      <c r="AS23" s="48">
        <v>0</v>
      </c>
      <c r="AT23" s="48">
        <v>0</v>
      </c>
      <c r="AU23" s="48">
        <v>0</v>
      </c>
      <c r="AV23" s="49">
        <v>0</v>
      </c>
      <c r="AW23" s="48">
        <v>0</v>
      </c>
      <c r="AX23" s="45">
        <v>0</v>
      </c>
      <c r="AY23" s="48">
        <v>0</v>
      </c>
      <c r="AZ23" s="48">
        <v>0</v>
      </c>
      <c r="BA23" s="48">
        <v>0</v>
      </c>
      <c r="BB23" s="12">
        <f>AO23+AP23</f>
        <v>70</v>
      </c>
      <c r="BC23" s="41">
        <f>(BB23+AJ23)*AN23+AQ23</f>
        <v>34800</v>
      </c>
      <c r="BD23" s="46">
        <f>BC23+AB23</f>
        <v>34800</v>
      </c>
      <c r="BE23" s="46">
        <f>(BC23+BA23+AY23+AT23)+(AI23+AH23+AC23)+AX23+AZ23+AS23+AR23+AG23+AF23</f>
        <v>34800</v>
      </c>
      <c r="BF23" s="50">
        <f>AV23+AN23</f>
        <v>400</v>
      </c>
      <c r="BH23" s="179">
        <v>0</v>
      </c>
      <c r="BI23" s="179">
        <v>0</v>
      </c>
      <c r="BJ23" s="179">
        <v>0</v>
      </c>
      <c r="BK23" s="179">
        <v>0</v>
      </c>
      <c r="BL23" s="179">
        <v>0</v>
      </c>
      <c r="BM23" s="179">
        <v>0</v>
      </c>
      <c r="BN23" s="179">
        <v>0</v>
      </c>
      <c r="BO23" s="10">
        <f>AP23*AO23</f>
        <v>0</v>
      </c>
      <c r="BP23" s="199"/>
      <c r="BQ23" s="179"/>
      <c r="BR23" s="179"/>
      <c r="BS23" s="179"/>
      <c r="BT23" s="179"/>
      <c r="BU23" s="179"/>
      <c r="BV23" s="179"/>
      <c r="BW23" s="179"/>
      <c r="BX23" s="179"/>
      <c r="BY23" s="179"/>
      <c r="BZ23" s="179"/>
      <c r="CA23" s="179"/>
      <c r="CB23" s="179"/>
      <c r="CC23" s="179"/>
      <c r="CD23" s="179"/>
      <c r="CE23" s="179"/>
      <c r="CF23" s="179"/>
      <c r="CG23" s="123">
        <f>SUM(BR23:CF23)</f>
        <v>0</v>
      </c>
    </row>
    <row r="24" spans="1:85" s="35" customFormat="1" x14ac:dyDescent="0.25">
      <c r="A24" s="30">
        <v>23</v>
      </c>
      <c r="B24" s="111">
        <v>45787</v>
      </c>
      <c r="C24" s="49" t="s">
        <v>108</v>
      </c>
      <c r="D24" s="49" t="s">
        <v>5</v>
      </c>
      <c r="E24" s="49" t="s">
        <v>74</v>
      </c>
      <c r="F24" s="49" t="s">
        <v>109</v>
      </c>
      <c r="G24" s="49" t="s">
        <v>110</v>
      </c>
      <c r="H24" s="59">
        <v>643</v>
      </c>
      <c r="I24" s="49"/>
      <c r="J24" s="39"/>
      <c r="K24" s="40">
        <v>0</v>
      </c>
      <c r="L24" s="40">
        <v>0</v>
      </c>
      <c r="M24" s="40">
        <v>0</v>
      </c>
      <c r="N24" s="40">
        <v>900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700</v>
      </c>
      <c r="AB24" s="11">
        <f>K24+L24+M24+N24+O24+P24+Q24+R24+T24</f>
        <v>900</v>
      </c>
      <c r="AC24" s="42">
        <f>AB24+AA24+Z24+Y24+X24+V24+U24</f>
        <v>1600</v>
      </c>
      <c r="AD24" s="40">
        <v>0</v>
      </c>
      <c r="AE24" s="40"/>
      <c r="AF24" s="40"/>
      <c r="AG24" s="40">
        <f>1*210+2*250</f>
        <v>710</v>
      </c>
      <c r="AH24" s="40"/>
      <c r="AI24" s="40">
        <v>36</v>
      </c>
      <c r="AJ24" s="43">
        <f>AD24+AE24</f>
        <v>0</v>
      </c>
      <c r="AK24" s="41">
        <f>AJ24*AN24</f>
        <v>0</v>
      </c>
      <c r="AL24" s="41">
        <f>AK24+AI24+AH24+AG24+AF24</f>
        <v>746</v>
      </c>
      <c r="AM24" s="41">
        <f>AL24+AC24</f>
        <v>2346</v>
      </c>
      <c r="AN24" s="44">
        <v>1</v>
      </c>
      <c r="AO24" s="39"/>
      <c r="AP24" s="39"/>
      <c r="AQ24" s="39"/>
      <c r="AR24" s="39"/>
      <c r="AS24" s="39"/>
      <c r="AT24" s="39"/>
      <c r="AU24" s="39"/>
      <c r="AV24" s="44"/>
      <c r="AW24" s="40"/>
      <c r="AX24" s="45">
        <f>AV24*AW24</f>
        <v>0</v>
      </c>
      <c r="AY24" s="40"/>
      <c r="AZ24" s="40"/>
      <c r="BA24" s="40"/>
      <c r="BB24" s="12">
        <f>AO24+AP24</f>
        <v>0</v>
      </c>
      <c r="BC24" s="41">
        <f>(BB24+AJ24)*AN24+AQ24</f>
        <v>0</v>
      </c>
      <c r="BD24" s="46">
        <f>BC24+AB24</f>
        <v>900</v>
      </c>
      <c r="BE24" s="46">
        <f>(BC24+BA24+AY24+AT24)+(AI24+AH24+AC24)+AX24+AZ24+AS24+AR24+AG24+AF24</f>
        <v>2346</v>
      </c>
      <c r="BF24" s="50">
        <f>AV24+AN24</f>
        <v>1</v>
      </c>
      <c r="BH24" s="132">
        <v>0</v>
      </c>
      <c r="BI24" s="132">
        <v>0</v>
      </c>
      <c r="BJ24" s="132">
        <v>0</v>
      </c>
      <c r="BK24" s="132">
        <v>0</v>
      </c>
      <c r="BL24" s="132">
        <v>0</v>
      </c>
      <c r="BM24" s="132">
        <v>0</v>
      </c>
      <c r="BN24" s="132">
        <v>0</v>
      </c>
      <c r="BO24" s="10">
        <f>AP24*AO24</f>
        <v>0</v>
      </c>
      <c r="BP24" s="132">
        <v>0</v>
      </c>
      <c r="BQ24" s="132"/>
      <c r="BR24" s="132"/>
      <c r="BS24" s="132"/>
      <c r="BT24" s="132"/>
      <c r="BU24" s="132"/>
      <c r="BV24" s="132"/>
      <c r="BW24" s="132"/>
      <c r="BX24" s="132"/>
      <c r="BY24" s="132"/>
      <c r="BZ24" s="132"/>
      <c r="CA24" s="132"/>
      <c r="CB24" s="132"/>
      <c r="CC24" s="132"/>
      <c r="CD24" s="132"/>
      <c r="CE24" s="132"/>
      <c r="CF24" s="132"/>
      <c r="CG24" s="123">
        <f>SUM(BR24:CF24)</f>
        <v>0</v>
      </c>
    </row>
    <row r="25" spans="1:85" s="35" customFormat="1" x14ac:dyDescent="0.25">
      <c r="A25" s="30">
        <v>24</v>
      </c>
      <c r="B25" s="111">
        <v>45796</v>
      </c>
      <c r="C25" s="49" t="s">
        <v>111</v>
      </c>
      <c r="D25" s="49" t="s">
        <v>93</v>
      </c>
      <c r="E25" s="49" t="s">
        <v>74</v>
      </c>
      <c r="F25" s="49" t="s">
        <v>106</v>
      </c>
      <c r="G25" s="49" t="s">
        <v>10</v>
      </c>
      <c r="H25" s="59">
        <v>651</v>
      </c>
      <c r="I25" s="49" t="s">
        <v>5</v>
      </c>
      <c r="J25" s="39"/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11">
        <f>K25+L25+M25+N25+O25+P25+Q25+R25+T25</f>
        <v>0</v>
      </c>
      <c r="AC25" s="42">
        <f>AB25+AA25+Z25+Y25+X25+V25+U25</f>
        <v>0</v>
      </c>
      <c r="AD25" s="40">
        <v>17</v>
      </c>
      <c r="AE25" s="40">
        <v>0</v>
      </c>
      <c r="AF25" s="40">
        <v>0</v>
      </c>
      <c r="AG25" s="40">
        <v>0</v>
      </c>
      <c r="AH25" s="40">
        <v>0</v>
      </c>
      <c r="AI25" s="40">
        <v>0</v>
      </c>
      <c r="AJ25" s="43">
        <f>AD25+AE25</f>
        <v>17</v>
      </c>
      <c r="AK25" s="41">
        <f>AJ25*AN25</f>
        <v>6800</v>
      </c>
      <c r="AL25" s="41">
        <f>AK25+AI25+AH25+AG25+AF25</f>
        <v>6800</v>
      </c>
      <c r="AM25" s="41">
        <f>AL25+AC25</f>
        <v>6800</v>
      </c>
      <c r="AN25" s="44">
        <v>400</v>
      </c>
      <c r="AO25" s="39">
        <v>70</v>
      </c>
      <c r="AP25" s="39">
        <v>0</v>
      </c>
      <c r="AQ25" s="39">
        <v>0</v>
      </c>
      <c r="AR25" s="39">
        <v>0</v>
      </c>
      <c r="AS25" s="39">
        <v>0</v>
      </c>
      <c r="AT25" s="39">
        <v>0</v>
      </c>
      <c r="AU25" s="39">
        <v>0</v>
      </c>
      <c r="AV25" s="44"/>
      <c r="AW25" s="40"/>
      <c r="AX25" s="45"/>
      <c r="AY25" s="40"/>
      <c r="AZ25" s="40"/>
      <c r="BA25" s="40"/>
      <c r="BB25" s="12">
        <f>AO25+AP25</f>
        <v>70</v>
      </c>
      <c r="BC25" s="41">
        <f>(BB25+AJ25)*AN25+AQ25</f>
        <v>34800</v>
      </c>
      <c r="BD25" s="46">
        <f>BC25+AB25</f>
        <v>34800</v>
      </c>
      <c r="BE25" s="46">
        <f>(BC25+BA25+AY25+AT25)+(AI25+AH25+AC25)+AX25+AZ25+AS25+AR25+AG25+AF25</f>
        <v>34800</v>
      </c>
      <c r="BF25" s="50">
        <f>AV25+AN25</f>
        <v>400</v>
      </c>
      <c r="BH25" s="132">
        <v>0</v>
      </c>
      <c r="BI25" s="132">
        <v>0</v>
      </c>
      <c r="BJ25" s="132">
        <v>0</v>
      </c>
      <c r="BK25" s="132">
        <v>0</v>
      </c>
      <c r="BL25" s="132">
        <v>0</v>
      </c>
      <c r="BM25" s="132">
        <v>0</v>
      </c>
      <c r="BN25" s="132">
        <v>0</v>
      </c>
      <c r="BO25" s="10">
        <f>AP25*AO25</f>
        <v>0</v>
      </c>
      <c r="BP25" s="200"/>
      <c r="BQ25" s="132"/>
      <c r="BR25" s="132"/>
      <c r="BS25" s="132"/>
      <c r="BT25" s="132"/>
      <c r="BU25" s="132"/>
      <c r="BV25" s="132"/>
      <c r="BW25" s="132"/>
      <c r="BX25" s="132"/>
      <c r="BY25" s="132"/>
      <c r="BZ25" s="132"/>
      <c r="CA25" s="132"/>
      <c r="CB25" s="132"/>
      <c r="CC25" s="132"/>
      <c r="CD25" s="132"/>
      <c r="CE25" s="132"/>
      <c r="CF25" s="132"/>
      <c r="CG25" s="123">
        <f>SUM(BR25:CF25)</f>
        <v>0</v>
      </c>
    </row>
    <row r="26" spans="1:85" s="35" customFormat="1" x14ac:dyDescent="0.25">
      <c r="A26" s="30">
        <v>25</v>
      </c>
      <c r="B26" s="111">
        <v>45808</v>
      </c>
      <c r="C26" s="49" t="s">
        <v>112</v>
      </c>
      <c r="D26" s="49" t="s">
        <v>5</v>
      </c>
      <c r="E26" s="49" t="s">
        <v>74</v>
      </c>
      <c r="F26" s="49" t="s">
        <v>113</v>
      </c>
      <c r="G26" s="49" t="s">
        <v>10</v>
      </c>
      <c r="H26" s="115">
        <v>565</v>
      </c>
      <c r="I26" s="49" t="s">
        <v>5</v>
      </c>
      <c r="J26" s="39"/>
      <c r="K26" s="40">
        <v>15000</v>
      </c>
      <c r="L26" s="40">
        <v>200</v>
      </c>
      <c r="M26" s="40">
        <v>0</v>
      </c>
      <c r="N26" s="40">
        <v>4500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/>
      <c r="V26" s="40"/>
      <c r="W26" s="40"/>
      <c r="X26" s="40"/>
      <c r="Y26" s="40"/>
      <c r="Z26" s="40"/>
      <c r="AA26" s="40"/>
      <c r="AB26" s="11">
        <f>K26+L26+M26+N26+O26+P26+Q26+R26+T26</f>
        <v>19700</v>
      </c>
      <c r="AC26" s="42">
        <f>AB26+AA26+Z26+Y26+X26+V26+U26</f>
        <v>19700</v>
      </c>
      <c r="AD26" s="40">
        <v>25</v>
      </c>
      <c r="AE26" s="40">
        <v>0</v>
      </c>
      <c r="AF26" s="40">
        <v>1470</v>
      </c>
      <c r="AG26" s="40">
        <v>0</v>
      </c>
      <c r="AH26" s="40">
        <v>0</v>
      </c>
      <c r="AI26" s="40">
        <v>0</v>
      </c>
      <c r="AJ26" s="201">
        <f>AD26+AE26</f>
        <v>25</v>
      </c>
      <c r="AK26" s="41">
        <f>AJ26*AN26</f>
        <v>3750</v>
      </c>
      <c r="AL26" s="41">
        <f>AK26+AI26+AH26+AG26+AF26</f>
        <v>5220</v>
      </c>
      <c r="AM26" s="41">
        <f>AL26+AC26</f>
        <v>24920</v>
      </c>
      <c r="AN26" s="44">
        <v>150</v>
      </c>
      <c r="AO26" s="39">
        <v>155</v>
      </c>
      <c r="AP26" s="39"/>
      <c r="AQ26" s="39"/>
      <c r="AR26" s="39"/>
      <c r="AS26" s="39"/>
      <c r="AT26" s="39"/>
      <c r="AU26" s="39"/>
      <c r="AV26" s="44"/>
      <c r="AW26" s="40"/>
      <c r="AX26" s="45"/>
      <c r="AY26" s="40"/>
      <c r="AZ26" s="40"/>
      <c r="BA26" s="40"/>
      <c r="BB26" s="12">
        <f>AO26+AP26</f>
        <v>155</v>
      </c>
      <c r="BC26" s="41">
        <f>(BB26+AJ26)*AN26+AQ26</f>
        <v>27000</v>
      </c>
      <c r="BD26" s="46">
        <f>BC26+AB26</f>
        <v>46700</v>
      </c>
      <c r="BE26" s="202">
        <f>(BC26+BA26+AY26+AT26)+(AI26+AH26+AC26)+AX26+AZ26+AS26+AR26+AG26+AF26</f>
        <v>48170</v>
      </c>
      <c r="BF26" s="50">
        <f>AV26+AN26</f>
        <v>150</v>
      </c>
      <c r="BH26" s="132">
        <v>0</v>
      </c>
      <c r="BI26" s="132">
        <v>0</v>
      </c>
      <c r="BJ26" s="132">
        <v>0</v>
      </c>
      <c r="BK26" s="132">
        <v>0</v>
      </c>
      <c r="BL26" s="132">
        <v>0</v>
      </c>
      <c r="BM26" s="132">
        <v>0</v>
      </c>
      <c r="BN26" s="132">
        <v>0</v>
      </c>
      <c r="BO26" s="10">
        <f>AP26*AO26</f>
        <v>0</v>
      </c>
      <c r="BP26" s="200"/>
      <c r="BQ26" s="132"/>
      <c r="BR26" s="132"/>
      <c r="BS26" s="132"/>
      <c r="BT26" s="132"/>
      <c r="BU26" s="132"/>
      <c r="BV26" s="132"/>
      <c r="BW26" s="132"/>
      <c r="BX26" s="132"/>
      <c r="BY26" s="132"/>
      <c r="BZ26" s="132"/>
      <c r="CA26" s="132"/>
      <c r="CB26" s="132"/>
      <c r="CC26" s="132"/>
      <c r="CD26" s="132"/>
      <c r="CE26" s="132"/>
      <c r="CF26" s="132"/>
      <c r="CG26" s="123">
        <f>SUM(BR26:CF26)</f>
        <v>0</v>
      </c>
    </row>
    <row r="27" spans="1:85" s="35" customFormat="1" x14ac:dyDescent="0.25">
      <c r="A27" s="30">
        <v>26</v>
      </c>
      <c r="B27" s="112">
        <v>45815</v>
      </c>
      <c r="C27" s="110" t="s">
        <v>114</v>
      </c>
      <c r="D27" s="110" t="s">
        <v>115</v>
      </c>
      <c r="E27" s="110" t="s">
        <v>74</v>
      </c>
      <c r="F27" s="110" t="s">
        <v>116</v>
      </c>
      <c r="G27" s="110" t="s">
        <v>86</v>
      </c>
      <c r="H27" s="59">
        <v>621</v>
      </c>
      <c r="I27" s="110" t="s">
        <v>117</v>
      </c>
      <c r="J27" s="47"/>
      <c r="K27" s="48">
        <v>0</v>
      </c>
      <c r="L27" s="48">
        <v>0</v>
      </c>
      <c r="M27" s="48"/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11">
        <f>K27+L27+M27+N27+O27+P27+Q27+R27+T27</f>
        <v>0</v>
      </c>
      <c r="AC27" s="42">
        <f>AB27+AA27+Z27+Y27+X27+V27+U27</f>
        <v>0</v>
      </c>
      <c r="AD27" s="48">
        <v>0</v>
      </c>
      <c r="AE27" s="48">
        <v>33</v>
      </c>
      <c r="AF27" s="48">
        <v>0</v>
      </c>
      <c r="AG27" s="48">
        <v>0</v>
      </c>
      <c r="AH27" s="48">
        <v>0</v>
      </c>
      <c r="AI27" s="48">
        <v>0</v>
      </c>
      <c r="AJ27" s="43">
        <f>AD27+AE27</f>
        <v>33</v>
      </c>
      <c r="AK27" s="41">
        <f>AJ27*AN27</f>
        <v>3960</v>
      </c>
      <c r="AL27" s="41">
        <f>AK27+AI27+AH27+AG27+AF27</f>
        <v>3960</v>
      </c>
      <c r="AM27" s="41">
        <f>AL27+AC27</f>
        <v>3960</v>
      </c>
      <c r="AN27" s="49">
        <v>120</v>
      </c>
      <c r="AO27" s="48">
        <v>0</v>
      </c>
      <c r="AP27" s="48">
        <v>0</v>
      </c>
      <c r="AQ27" s="48">
        <v>0</v>
      </c>
      <c r="AR27" s="48">
        <v>0</v>
      </c>
      <c r="AS27" s="48">
        <v>0</v>
      </c>
      <c r="AT27" s="48">
        <v>0</v>
      </c>
      <c r="AU27" s="48">
        <v>0</v>
      </c>
      <c r="AV27" s="49">
        <v>0</v>
      </c>
      <c r="AW27" s="48">
        <v>0</v>
      </c>
      <c r="AX27" s="48">
        <v>0</v>
      </c>
      <c r="AY27" s="48">
        <v>0</v>
      </c>
      <c r="AZ27" s="48">
        <v>0</v>
      </c>
      <c r="BA27" s="48">
        <v>0</v>
      </c>
      <c r="BB27" s="12">
        <f>AO27+AP27</f>
        <v>0</v>
      </c>
      <c r="BC27" s="41">
        <f>(BB27+AJ27)*AN27+AQ27</f>
        <v>3960</v>
      </c>
      <c r="BD27" s="46">
        <f>BC27+AB27</f>
        <v>3960</v>
      </c>
      <c r="BE27" s="46">
        <f>(BC27+BA27+AY27+AT27)+(AI27+AH27+AC27)+AX27+AZ27+AS27+AR27+AG27+AF27</f>
        <v>3960</v>
      </c>
      <c r="BF27" s="50">
        <f>AV27+AN27</f>
        <v>120</v>
      </c>
      <c r="BH27" s="179">
        <v>0</v>
      </c>
      <c r="BI27" s="179">
        <v>0</v>
      </c>
      <c r="BJ27" s="179">
        <v>0</v>
      </c>
      <c r="BK27" s="179">
        <v>0</v>
      </c>
      <c r="BL27" s="179">
        <v>0</v>
      </c>
      <c r="BM27" s="179">
        <v>0</v>
      </c>
      <c r="BN27" s="179">
        <v>0</v>
      </c>
      <c r="BO27" s="10">
        <f>AP27*AO27</f>
        <v>0</v>
      </c>
      <c r="BP27" s="19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23">
        <f>SUM(BR27:CF27)</f>
        <v>0</v>
      </c>
    </row>
    <row r="28" spans="1:85" s="35" customFormat="1" x14ac:dyDescent="0.25">
      <c r="A28" s="30">
        <v>27</v>
      </c>
      <c r="B28" s="112">
        <v>45820</v>
      </c>
      <c r="C28" s="110" t="s">
        <v>118</v>
      </c>
      <c r="D28" s="110" t="s">
        <v>119</v>
      </c>
      <c r="E28" s="110" t="s">
        <v>120</v>
      </c>
      <c r="F28" s="110" t="s">
        <v>90</v>
      </c>
      <c r="G28" s="110" t="s">
        <v>10</v>
      </c>
      <c r="H28" s="115">
        <v>546</v>
      </c>
      <c r="I28" s="110" t="s">
        <v>5</v>
      </c>
      <c r="J28" s="47"/>
      <c r="K28" s="48">
        <v>20000</v>
      </c>
      <c r="L28" s="48">
        <v>0</v>
      </c>
      <c r="M28" s="48"/>
      <c r="N28" s="48">
        <v>16600</v>
      </c>
      <c r="O28" s="48">
        <v>7150</v>
      </c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>
        <v>4037</v>
      </c>
      <c r="AA28" s="48"/>
      <c r="AB28" s="41">
        <f>K28+L28+M28+N28+O28+P28+Q28+R28+T28</f>
        <v>43750</v>
      </c>
      <c r="AC28" s="41">
        <f>AB28+AA28+Z28+Y28+X28+V28+U28</f>
        <v>47787</v>
      </c>
      <c r="AD28" s="48">
        <f>27+12</f>
        <v>39</v>
      </c>
      <c r="AE28" s="48"/>
      <c r="AF28" s="48"/>
      <c r="AG28" s="48"/>
      <c r="AH28" s="48"/>
      <c r="AI28" s="48">
        <f>2730+2000</f>
        <v>4730</v>
      </c>
      <c r="AJ28" s="43">
        <f>AD28+AE28</f>
        <v>39</v>
      </c>
      <c r="AK28" s="41">
        <f>AJ28*AN28</f>
        <v>19500</v>
      </c>
      <c r="AL28" s="41">
        <f>AK28+AI28+AH28+AG28+AF28</f>
        <v>24230</v>
      </c>
      <c r="AM28" s="41">
        <f>AL28+AC28</f>
        <v>72017</v>
      </c>
      <c r="AN28" s="49">
        <v>500</v>
      </c>
      <c r="AO28" s="48">
        <f>4*29.9+95</f>
        <v>214.6</v>
      </c>
      <c r="AP28" s="48"/>
      <c r="AQ28" s="48">
        <v>20500</v>
      </c>
      <c r="AR28" s="48"/>
      <c r="AS28" s="48"/>
      <c r="AT28" s="48"/>
      <c r="AU28" s="48">
        <f>470+470</f>
        <v>940</v>
      </c>
      <c r="AV28" s="49"/>
      <c r="AW28" s="48"/>
      <c r="AX28" s="45">
        <f>AV28*AW28</f>
        <v>0</v>
      </c>
      <c r="AY28" s="48"/>
      <c r="AZ28" s="48"/>
      <c r="BA28" s="48">
        <v>9692.07</v>
      </c>
      <c r="BB28" s="12">
        <f>AO28+AP28</f>
        <v>214.6</v>
      </c>
      <c r="BC28" s="41">
        <f>(BB28+AJ28)*AN28+AQ28</f>
        <v>147300</v>
      </c>
      <c r="BD28" s="46">
        <f>BC28+AB28</f>
        <v>191050</v>
      </c>
      <c r="BE28" s="46">
        <f>(BC28+BA28+AY28+AT28)+(AI28+AH28+AC28)+AX28+AZ28+AS28+AR28+AG28+AF28+AU28</f>
        <v>210449.07</v>
      </c>
      <c r="BF28" s="50">
        <f>AV28+AN28</f>
        <v>500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0">
        <f>AP28*AO28</f>
        <v>0</v>
      </c>
      <c r="BP28" s="128"/>
      <c r="BQ28" s="16">
        <v>344</v>
      </c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23">
        <f>SUM(BR28:CF28)</f>
        <v>0</v>
      </c>
    </row>
    <row r="29" spans="1:85" s="35" customFormat="1" x14ac:dyDescent="0.25">
      <c r="A29" s="30">
        <v>28</v>
      </c>
      <c r="B29" s="112">
        <v>45825</v>
      </c>
      <c r="C29" s="110" t="s">
        <v>121</v>
      </c>
      <c r="D29" s="110" t="s">
        <v>400</v>
      </c>
      <c r="E29" s="110" t="s">
        <v>74</v>
      </c>
      <c r="F29" s="110" t="s">
        <v>90</v>
      </c>
      <c r="G29" s="110" t="s">
        <v>10</v>
      </c>
      <c r="H29" s="59">
        <v>645</v>
      </c>
      <c r="I29" s="110" t="s">
        <v>5</v>
      </c>
      <c r="J29" s="39"/>
      <c r="K29" s="40">
        <v>16200</v>
      </c>
      <c r="L29" s="40">
        <v>1620</v>
      </c>
      <c r="M29" s="40">
        <v>0</v>
      </c>
      <c r="N29" s="40">
        <f>3500+2000</f>
        <v>5500</v>
      </c>
      <c r="O29" s="40">
        <v>2310</v>
      </c>
      <c r="P29" s="40"/>
      <c r="Q29" s="40"/>
      <c r="R29" s="40"/>
      <c r="S29" s="40">
        <v>7000</v>
      </c>
      <c r="T29" s="40"/>
      <c r="U29" s="40"/>
      <c r="V29" s="40"/>
      <c r="W29" s="40"/>
      <c r="X29" s="40"/>
      <c r="Y29" s="40"/>
      <c r="Z29" s="40">
        <f>7070</f>
        <v>7070</v>
      </c>
      <c r="AA29" s="40"/>
      <c r="AB29" s="11">
        <f>K29+L29+M29+N29+O29+P29+Q29+R29+T29</f>
        <v>25630</v>
      </c>
      <c r="AC29" s="41">
        <f>AB29+AA29+Z29+Y29+X29+V29+U29</f>
        <v>32700</v>
      </c>
      <c r="AD29" s="40">
        <v>25</v>
      </c>
      <c r="AE29" s="40">
        <v>0</v>
      </c>
      <c r="AF29" s="40">
        <v>4000</v>
      </c>
      <c r="AG29" s="40"/>
      <c r="AH29" s="40"/>
      <c r="AI29" s="40"/>
      <c r="AJ29" s="43">
        <f>AD29+AE29</f>
        <v>25</v>
      </c>
      <c r="AK29" s="41">
        <f>AJ29*AN29</f>
        <v>5000</v>
      </c>
      <c r="AL29" s="41">
        <f>AK29+AI29+AH29+AG29+AF29</f>
        <v>9000</v>
      </c>
      <c r="AM29" s="41">
        <f>AL29+AC29</f>
        <v>41700</v>
      </c>
      <c r="AN29" s="44">
        <v>200</v>
      </c>
      <c r="AO29" s="40">
        <v>99</v>
      </c>
      <c r="AP29" s="40">
        <v>0</v>
      </c>
      <c r="AQ29" s="40">
        <v>4800</v>
      </c>
      <c r="AR29" s="40">
        <v>0</v>
      </c>
      <c r="AS29" s="40">
        <v>0</v>
      </c>
      <c r="AT29" s="40">
        <v>0</v>
      </c>
      <c r="AU29" s="40">
        <v>0</v>
      </c>
      <c r="AV29" s="44"/>
      <c r="AW29" s="371"/>
      <c r="AX29" s="40"/>
      <c r="AY29" s="40"/>
      <c r="AZ29" s="40"/>
      <c r="BA29" s="40"/>
      <c r="BB29" s="12">
        <f>AO29+AP29</f>
        <v>99</v>
      </c>
      <c r="BC29" s="41">
        <f>(BB29+AJ29)*AN29+AQ29</f>
        <v>29600</v>
      </c>
      <c r="BD29" s="46">
        <f>BC29+AB29</f>
        <v>55230</v>
      </c>
      <c r="BE29" s="46">
        <f>(BC29+BA29+AY29+AT29)+(AI29+AH29+AC29)+AX29+AZ29+AS29+AR29+AG29+AF29</f>
        <v>66300</v>
      </c>
      <c r="BF29" s="50">
        <f>AV29+AN29</f>
        <v>200</v>
      </c>
      <c r="BH29" s="181">
        <v>0</v>
      </c>
      <c r="BI29" s="181">
        <v>0</v>
      </c>
      <c r="BJ29" s="181">
        <v>0</v>
      </c>
      <c r="BK29" s="181">
        <v>0</v>
      </c>
      <c r="BL29" s="181">
        <v>0</v>
      </c>
      <c r="BM29" s="181">
        <v>0</v>
      </c>
      <c r="BN29" s="181">
        <v>0</v>
      </c>
      <c r="BO29" s="10">
        <f>AP29*AO29</f>
        <v>0</v>
      </c>
      <c r="BP29" s="379"/>
      <c r="BQ29" s="181"/>
      <c r="BR29" s="181"/>
      <c r="BS29" s="181"/>
      <c r="BT29" s="181"/>
      <c r="BU29" s="181"/>
      <c r="BV29" s="181"/>
      <c r="BW29" s="181"/>
      <c r="BX29" s="181"/>
      <c r="BY29" s="181"/>
      <c r="BZ29" s="181"/>
      <c r="CA29" s="181"/>
      <c r="CB29" s="181"/>
      <c r="CC29" s="181"/>
      <c r="CD29" s="181"/>
      <c r="CE29" s="181"/>
      <c r="CF29" s="181"/>
      <c r="CG29" s="123">
        <f>SUM(BR29:CF29)</f>
        <v>0</v>
      </c>
    </row>
    <row r="30" spans="1:85" s="35" customFormat="1" x14ac:dyDescent="0.25">
      <c r="A30" s="30">
        <v>29</v>
      </c>
      <c r="B30" s="112">
        <v>45828</v>
      </c>
      <c r="C30" s="110" t="s">
        <v>122</v>
      </c>
      <c r="D30" s="110" t="s">
        <v>5</v>
      </c>
      <c r="E30" s="110" t="s">
        <v>11</v>
      </c>
      <c r="F30" s="110" t="s">
        <v>101</v>
      </c>
      <c r="G30" s="110" t="s">
        <v>2</v>
      </c>
      <c r="H30" s="59">
        <v>584</v>
      </c>
      <c r="I30" s="110" t="s">
        <v>5</v>
      </c>
      <c r="J30" s="47"/>
      <c r="K30" s="48">
        <v>33000</v>
      </c>
      <c r="L30" s="48">
        <v>0</v>
      </c>
      <c r="M30" s="40"/>
      <c r="N30" s="48">
        <v>11700</v>
      </c>
      <c r="O30" s="48">
        <v>4850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1">
        <f>K30+L30+M30+N30+O30+P30+Q30+R30+T30</f>
        <v>49550</v>
      </c>
      <c r="AC30" s="41">
        <f>AB30+AA30+Z30+Y30+X30+V30+U30-3468.5</f>
        <v>46081.5</v>
      </c>
      <c r="AD30" s="48">
        <v>40</v>
      </c>
      <c r="AE30" s="48">
        <v>0</v>
      </c>
      <c r="AF30" s="48">
        <v>0</v>
      </c>
      <c r="AG30" s="48">
        <v>0</v>
      </c>
      <c r="AH30" s="48">
        <v>0</v>
      </c>
      <c r="AI30" s="48">
        <v>0</v>
      </c>
      <c r="AJ30" s="43">
        <f>AD30+AE30</f>
        <v>40</v>
      </c>
      <c r="AK30" s="41">
        <f>AJ30*AN30</f>
        <v>4800</v>
      </c>
      <c r="AL30" s="41">
        <f>AK30+AI30+AH30+AG30+AF30</f>
        <v>4800</v>
      </c>
      <c r="AM30" s="41">
        <f>AL30+AC30</f>
        <v>50881.5</v>
      </c>
      <c r="AN30" s="49">
        <v>120</v>
      </c>
      <c r="AO30" s="48">
        <f>(76*2)+70</f>
        <v>222</v>
      </c>
      <c r="AP30" s="48">
        <v>0</v>
      </c>
      <c r="AQ30" s="48">
        <v>4700</v>
      </c>
      <c r="AR30" s="48">
        <v>0</v>
      </c>
      <c r="AS30" s="48">
        <v>0</v>
      </c>
      <c r="AT30" s="48">
        <v>0</v>
      </c>
      <c r="AU30" s="48">
        <f>23.9*180</f>
        <v>4302</v>
      </c>
      <c r="AV30" s="49">
        <v>122</v>
      </c>
      <c r="AW30" s="39"/>
      <c r="AX30" s="48">
        <f>1820+3016+2100+3080</f>
        <v>10016</v>
      </c>
      <c r="AY30" s="48">
        <v>0</v>
      </c>
      <c r="AZ30" s="48">
        <v>0</v>
      </c>
      <c r="BA30" s="48">
        <v>9701.5</v>
      </c>
      <c r="BB30" s="12">
        <f>AO30+AP30</f>
        <v>222</v>
      </c>
      <c r="BC30" s="41">
        <f>(BB30+AJ30)*AN30+AQ30</f>
        <v>36140</v>
      </c>
      <c r="BD30" s="46">
        <f>BC30+AB30</f>
        <v>85690</v>
      </c>
      <c r="BE30" s="46">
        <f>(BC30+BA30+AY30+AT30)+(AI30+AH30+AC30)+AZ30+AS30+AR30+AG30+AF30+AX30+AU30</f>
        <v>106241</v>
      </c>
      <c r="BF30" s="50">
        <f>AV30+AN30</f>
        <v>242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0">
        <f>AP30*AO30</f>
        <v>0</v>
      </c>
      <c r="BP30" s="128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23">
        <f>SUM(BR30:CF30)</f>
        <v>0</v>
      </c>
    </row>
    <row r="31" spans="1:85" s="35" customFormat="1" x14ac:dyDescent="0.25">
      <c r="A31" s="30">
        <v>30</v>
      </c>
      <c r="B31" s="111">
        <v>45843</v>
      </c>
      <c r="C31" s="49" t="s">
        <v>123</v>
      </c>
      <c r="D31" s="49" t="s">
        <v>399</v>
      </c>
      <c r="E31" s="49" t="s">
        <v>74</v>
      </c>
      <c r="F31" s="49" t="s">
        <v>116</v>
      </c>
      <c r="G31" s="49" t="s">
        <v>12</v>
      </c>
      <c r="H31" s="59">
        <v>632</v>
      </c>
      <c r="I31" s="49" t="s">
        <v>5</v>
      </c>
      <c r="J31" s="47"/>
      <c r="K31" s="48">
        <v>50000</v>
      </c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11">
        <f>K31+L31+M31+N31+O31+P31+Q31+R31+T31</f>
        <v>50000</v>
      </c>
      <c r="AC31" s="42">
        <f>AB31+AA31+Z31+Y31+X31+V31+U31</f>
        <v>50000</v>
      </c>
      <c r="AD31" s="48"/>
      <c r="AE31" s="48"/>
      <c r="AF31" s="48"/>
      <c r="AG31" s="48"/>
      <c r="AH31" s="48"/>
      <c r="AI31" s="48"/>
      <c r="AJ31" s="43">
        <f>AD31+AE31</f>
        <v>0</v>
      </c>
      <c r="AK31" s="41">
        <f>AJ31*AN31</f>
        <v>0</v>
      </c>
      <c r="AL31" s="41">
        <f>AK31+AI31+AH31+AG31+AF31</f>
        <v>0</v>
      </c>
      <c r="AM31" s="41">
        <f>AL31+AC31</f>
        <v>50000</v>
      </c>
      <c r="AN31" s="49"/>
      <c r="AO31" s="48"/>
      <c r="AP31" s="48"/>
      <c r="AQ31" s="48"/>
      <c r="AR31" s="48"/>
      <c r="AS31" s="48"/>
      <c r="AT31" s="48"/>
      <c r="AU31" s="48"/>
      <c r="AV31" s="49"/>
      <c r="AW31" s="48"/>
      <c r="AX31" s="48"/>
      <c r="AY31" s="48"/>
      <c r="AZ31" s="48"/>
      <c r="BA31" s="48"/>
      <c r="BB31" s="12">
        <f>AO31+AP31</f>
        <v>0</v>
      </c>
      <c r="BC31" s="41">
        <f>(BB31+AJ31)*AN31+AQ31</f>
        <v>0</v>
      </c>
      <c r="BD31" s="46">
        <f>BC31+AB31</f>
        <v>50000</v>
      </c>
      <c r="BE31" s="46">
        <f>(BC31+BA31+AY31+AT31)+(AI31+AH31+AC31)+AX31+AZ31+AS31+AR31+AG31+AF31</f>
        <v>50000</v>
      </c>
      <c r="BF31" s="50">
        <f>AV31+AN31</f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0">
        <f>AP31*AO31</f>
        <v>0</v>
      </c>
      <c r="BP31" s="128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23">
        <f>SUM(BR31:CF31)</f>
        <v>0</v>
      </c>
    </row>
    <row r="32" spans="1:85" s="35" customFormat="1" x14ac:dyDescent="0.25">
      <c r="A32" s="30">
        <v>31</v>
      </c>
      <c r="B32" s="111">
        <v>45850</v>
      </c>
      <c r="C32" s="49" t="s">
        <v>124</v>
      </c>
      <c r="D32" s="49" t="s">
        <v>125</v>
      </c>
      <c r="E32" s="49" t="s">
        <v>74</v>
      </c>
      <c r="F32" s="49" t="s">
        <v>9</v>
      </c>
      <c r="G32" s="49" t="s">
        <v>10</v>
      </c>
      <c r="H32" s="59">
        <v>616</v>
      </c>
      <c r="I32" s="49" t="s">
        <v>5</v>
      </c>
      <c r="J32" s="47"/>
      <c r="K32" s="48">
        <v>18000</v>
      </c>
      <c r="L32" s="48">
        <v>1800</v>
      </c>
      <c r="M32" s="48"/>
      <c r="N32" s="48">
        <v>7000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950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11">
        <f>K32+L32+M32+N32+O32+P32+Q32+R32+T32</f>
        <v>26800</v>
      </c>
      <c r="AC32" s="41">
        <f>AB32+AA32+Z32+Y32+X32+V32+U32</f>
        <v>27750</v>
      </c>
      <c r="AD32" s="48">
        <v>67</v>
      </c>
      <c r="AE32" s="48">
        <v>0</v>
      </c>
      <c r="AF32" s="48"/>
      <c r="AG32" s="48">
        <v>0</v>
      </c>
      <c r="AH32" s="48">
        <v>0</v>
      </c>
      <c r="AI32" s="48">
        <v>0</v>
      </c>
      <c r="AJ32" s="43">
        <f>AD32+AE32</f>
        <v>67</v>
      </c>
      <c r="AK32" s="41">
        <f>AJ32*AN32</f>
        <v>13668</v>
      </c>
      <c r="AL32" s="41">
        <f>AK32+AI32+AH32+AG32+AF32</f>
        <v>13668</v>
      </c>
      <c r="AM32" s="41">
        <f>AL32+AC32</f>
        <v>41418</v>
      </c>
      <c r="AN32" s="49">
        <v>204</v>
      </c>
      <c r="AO32" s="48">
        <v>125</v>
      </c>
      <c r="AP32" s="48">
        <v>0</v>
      </c>
      <c r="AQ32" s="48">
        <v>0</v>
      </c>
      <c r="AR32" s="48">
        <v>2260</v>
      </c>
      <c r="AS32" s="48">
        <v>0</v>
      </c>
      <c r="AT32" s="48">
        <v>0</v>
      </c>
      <c r="AU32" s="48">
        <v>0</v>
      </c>
      <c r="AV32" s="49">
        <v>22</v>
      </c>
      <c r="AW32" s="48">
        <v>192</v>
      </c>
      <c r="AX32" s="48">
        <f>AW32*AV32</f>
        <v>4224</v>
      </c>
      <c r="AY32" s="48"/>
      <c r="AZ32" s="48"/>
      <c r="BA32" s="48"/>
      <c r="BB32" s="12">
        <f>AO32+AP32</f>
        <v>125</v>
      </c>
      <c r="BC32" s="41">
        <f>(BB32+AJ32)*AN32+AQ32</f>
        <v>39168</v>
      </c>
      <c r="BD32" s="46">
        <f>BC32+AB32</f>
        <v>65968</v>
      </c>
      <c r="BE32" s="46">
        <f>(BC32+BA32+AY32+AT32)+(AI32+AH32+AC32)+AX32+AZ32+AS32+AR32+AG32+AF32+AU32</f>
        <v>73402</v>
      </c>
      <c r="BF32" s="50">
        <f>AV32+AN32</f>
        <v>226</v>
      </c>
      <c r="BH32" s="16">
        <v>0</v>
      </c>
      <c r="BI32" s="16">
        <v>0</v>
      </c>
      <c r="BJ32" s="16">
        <f>BJ3</f>
        <v>0</v>
      </c>
      <c r="BK32" s="16">
        <v>0</v>
      </c>
      <c r="BL32" s="16">
        <v>0</v>
      </c>
      <c r="BM32" s="16">
        <v>0</v>
      </c>
      <c r="BN32" s="16"/>
      <c r="BO32" s="10">
        <f>AP32*AO32</f>
        <v>0</v>
      </c>
      <c r="BP32" s="128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23">
        <f>SUM(BR32:CF32)</f>
        <v>0</v>
      </c>
    </row>
    <row r="33" spans="1:85" s="35" customFormat="1" x14ac:dyDescent="0.25">
      <c r="A33" s="30">
        <v>32</v>
      </c>
      <c r="B33" s="111">
        <v>45857</v>
      </c>
      <c r="C33" s="49" t="s">
        <v>126</v>
      </c>
      <c r="D33" s="49" t="s">
        <v>79</v>
      </c>
      <c r="E33" s="49" t="s">
        <v>74</v>
      </c>
      <c r="F33" s="49" t="s">
        <v>9</v>
      </c>
      <c r="G33" s="49" t="s">
        <v>86</v>
      </c>
      <c r="H33" s="59">
        <v>660</v>
      </c>
      <c r="I33" s="49" t="s">
        <v>127</v>
      </c>
      <c r="J33" s="39"/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1">
        <f>K33+L33+M33+N33+O33+P33+Q33+R33+T33</f>
        <v>0</v>
      </c>
      <c r="AC33" s="41">
        <f>AB33+AA33+Z33+Y33+X33+V33+U33</f>
        <v>0</v>
      </c>
      <c r="AD33" s="40"/>
      <c r="AE33" s="40">
        <v>28</v>
      </c>
      <c r="AF33" s="40"/>
      <c r="AG33" s="40"/>
      <c r="AH33" s="40"/>
      <c r="AI33" s="40"/>
      <c r="AJ33" s="43">
        <f>AD33+AE33</f>
        <v>28</v>
      </c>
      <c r="AK33" s="41">
        <f>AJ33*AN33</f>
        <v>38976</v>
      </c>
      <c r="AL33" s="41">
        <f>AK33+AI33+AH33+AG33+AF33</f>
        <v>38976</v>
      </c>
      <c r="AM33" s="41">
        <f>AL33+AC33</f>
        <v>38976</v>
      </c>
      <c r="AN33" s="44">
        <v>1392</v>
      </c>
      <c r="AO33" s="40">
        <v>0</v>
      </c>
      <c r="AP33" s="40">
        <v>0</v>
      </c>
      <c r="AQ33" s="40">
        <v>0</v>
      </c>
      <c r="AR33" s="40">
        <v>0</v>
      </c>
      <c r="AS33" s="40">
        <v>0</v>
      </c>
      <c r="AT33" s="40">
        <v>0</v>
      </c>
      <c r="AU33" s="40">
        <v>0</v>
      </c>
      <c r="AV33" s="44">
        <v>0</v>
      </c>
      <c r="AW33" s="40">
        <v>0</v>
      </c>
      <c r="AX33" s="40"/>
      <c r="AY33" s="40">
        <v>0</v>
      </c>
      <c r="AZ33" s="40">
        <v>0</v>
      </c>
      <c r="BA33" s="40">
        <v>0</v>
      </c>
      <c r="BB33" s="43">
        <f>AO33+AP33</f>
        <v>0</v>
      </c>
      <c r="BC33" s="88">
        <f>(BB33+AJ33)*AN33+AQ33</f>
        <v>38976</v>
      </c>
      <c r="BD33" s="46">
        <f>BC33+AB33</f>
        <v>38976</v>
      </c>
      <c r="BE33" s="46">
        <f>(BC33+BA33+AY33+AT33)+(AI33+AH33+AC33)+AX33+AZ33+AS33+AR33+AG33+AF33</f>
        <v>38976</v>
      </c>
      <c r="BF33" s="50">
        <f>AV33+AN33</f>
        <v>1392</v>
      </c>
      <c r="BH33" s="45">
        <f>BE33*10%</f>
        <v>3897.6000000000004</v>
      </c>
      <c r="BI33" s="40">
        <v>0</v>
      </c>
      <c r="BJ33" s="40">
        <v>0</v>
      </c>
      <c r="BK33" s="40">
        <v>0</v>
      </c>
      <c r="BL33" s="40">
        <v>0</v>
      </c>
      <c r="BM33" s="40">
        <v>0</v>
      </c>
      <c r="BN33" s="40">
        <v>0</v>
      </c>
      <c r="BO33" s="45">
        <f>AP33*AO33</f>
        <v>0</v>
      </c>
      <c r="BP33" s="218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219">
        <f>SUM(BR33:CF33)</f>
        <v>0</v>
      </c>
    </row>
    <row r="34" spans="1:85" s="35" customFormat="1" x14ac:dyDescent="0.25">
      <c r="A34" s="30">
        <v>33</v>
      </c>
      <c r="B34" s="111">
        <v>45863</v>
      </c>
      <c r="C34" s="49" t="s">
        <v>128</v>
      </c>
      <c r="D34" s="49" t="s">
        <v>125</v>
      </c>
      <c r="E34" s="49" t="s">
        <v>74</v>
      </c>
      <c r="F34" s="49" t="s">
        <v>9</v>
      </c>
      <c r="G34" s="49" t="s">
        <v>10</v>
      </c>
      <c r="H34" s="59">
        <v>662</v>
      </c>
      <c r="I34" s="49" t="s">
        <v>5</v>
      </c>
      <c r="J34" s="39"/>
      <c r="K34" s="40">
        <v>18000</v>
      </c>
      <c r="L34" s="40">
        <v>1800</v>
      </c>
      <c r="M34" s="40">
        <v>2000</v>
      </c>
      <c r="N34" s="40">
        <f>3500+3500</f>
        <v>7000</v>
      </c>
      <c r="O34" s="40"/>
      <c r="P34" s="40"/>
      <c r="Q34" s="40"/>
      <c r="R34" s="40"/>
      <c r="S34" s="40"/>
      <c r="T34" s="40"/>
      <c r="U34" s="40"/>
      <c r="V34" s="40">
        <v>950</v>
      </c>
      <c r="W34" s="40"/>
      <c r="X34" s="40"/>
      <c r="Y34" s="40"/>
      <c r="Z34" s="40"/>
      <c r="AA34" s="40"/>
      <c r="AB34" s="11">
        <f>K34+L34+M34+N34+O34+P34+Q34+R34+T34</f>
        <v>28800</v>
      </c>
      <c r="AC34" s="41">
        <f>AB34+AA34+Z34+Y34+X34+V34+U34</f>
        <v>29750</v>
      </c>
      <c r="AD34" s="40">
        <v>67</v>
      </c>
      <c r="AE34" s="40">
        <v>0</v>
      </c>
      <c r="AF34" s="40">
        <v>0</v>
      </c>
      <c r="AG34" s="40">
        <v>0</v>
      </c>
      <c r="AH34" s="40">
        <v>0</v>
      </c>
      <c r="AI34" s="40">
        <v>0</v>
      </c>
      <c r="AJ34" s="43">
        <f>AD34+AE34</f>
        <v>67</v>
      </c>
      <c r="AK34" s="41">
        <f>AJ34*AN34</f>
        <v>12529</v>
      </c>
      <c r="AL34" s="41">
        <f>AK34+AI34+AH34+AG34+AF34</f>
        <v>12529</v>
      </c>
      <c r="AM34" s="41">
        <f>AL34+AC34</f>
        <v>42279</v>
      </c>
      <c r="AN34" s="44">
        <v>187</v>
      </c>
      <c r="AO34" s="40">
        <v>125</v>
      </c>
      <c r="AP34" s="40">
        <v>0</v>
      </c>
      <c r="AQ34" s="40">
        <v>0</v>
      </c>
      <c r="AR34" s="40">
        <v>0</v>
      </c>
      <c r="AS34" s="40">
        <v>0</v>
      </c>
      <c r="AT34" s="40">
        <v>0</v>
      </c>
      <c r="AU34" s="40">
        <v>0</v>
      </c>
      <c r="AV34" s="44">
        <v>33</v>
      </c>
      <c r="AW34" s="40">
        <v>192</v>
      </c>
      <c r="AX34" s="40">
        <f>AV34*AW34</f>
        <v>6336</v>
      </c>
      <c r="AY34" s="40"/>
      <c r="AZ34" s="40"/>
      <c r="BA34" s="40"/>
      <c r="BB34" s="12">
        <f>AO34+AP34</f>
        <v>125</v>
      </c>
      <c r="BC34" s="88">
        <f>(BB34+AJ34)*AN34+AQ34</f>
        <v>35904</v>
      </c>
      <c r="BD34" s="46">
        <f>BC34+AB34</f>
        <v>64704</v>
      </c>
      <c r="BE34" s="46">
        <f>(BC34+BA34+AY34+AT34)+(AI34+AH34+AC34)+AX34+AZ34+AS34+AR34+AG34+AF34</f>
        <v>71990</v>
      </c>
      <c r="BF34" s="50">
        <f>AV34+AN34</f>
        <v>220</v>
      </c>
      <c r="BH34" s="181">
        <v>0</v>
      </c>
      <c r="BI34" s="181">
        <v>0</v>
      </c>
      <c r="BJ34" s="181">
        <f>BE32*10%</f>
        <v>7340.2000000000007</v>
      </c>
      <c r="BK34" s="181">
        <v>0</v>
      </c>
      <c r="BL34" s="181">
        <v>0</v>
      </c>
      <c r="BM34" s="181">
        <v>0</v>
      </c>
      <c r="BN34" s="181">
        <v>0</v>
      </c>
      <c r="BO34" s="10">
        <f>AP34*AO34</f>
        <v>0</v>
      </c>
      <c r="BP34" s="379"/>
      <c r="BQ34" s="181"/>
      <c r="BR34" s="181"/>
      <c r="BS34" s="181"/>
      <c r="BT34" s="181"/>
      <c r="BU34" s="181"/>
      <c r="BV34" s="181"/>
      <c r="BW34" s="181"/>
      <c r="BX34" s="181"/>
      <c r="BY34" s="181"/>
      <c r="BZ34" s="181"/>
      <c r="CA34" s="181"/>
      <c r="CB34" s="181"/>
      <c r="CC34" s="181"/>
      <c r="CD34" s="181"/>
      <c r="CE34" s="181"/>
      <c r="CF34" s="181"/>
      <c r="CG34" s="123">
        <f>SUM(BR34:CF34)</f>
        <v>0</v>
      </c>
    </row>
    <row r="35" spans="1:85" x14ac:dyDescent="0.25">
      <c r="A35" s="30">
        <v>34</v>
      </c>
      <c r="B35" s="111">
        <v>45864</v>
      </c>
      <c r="C35" s="49" t="s">
        <v>129</v>
      </c>
      <c r="D35" s="49" t="s">
        <v>5</v>
      </c>
      <c r="E35" s="49" t="s">
        <v>74</v>
      </c>
      <c r="F35" s="49" t="s">
        <v>113</v>
      </c>
      <c r="G35" s="49" t="s">
        <v>10</v>
      </c>
      <c r="H35" s="59">
        <v>644</v>
      </c>
      <c r="I35" s="49" t="s">
        <v>5</v>
      </c>
      <c r="J35" s="39"/>
      <c r="K35" s="40">
        <v>12000</v>
      </c>
      <c r="L35" s="40">
        <v>1200</v>
      </c>
      <c r="M35" s="40">
        <v>2500</v>
      </c>
      <c r="N35" s="40">
        <f>2000+4500+1800</f>
        <v>8300</v>
      </c>
      <c r="O35" s="40">
        <v>1430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1">
        <f>K35+L35+M35+N35+O35+P35+Q35+R35+T35</f>
        <v>25430</v>
      </c>
      <c r="AC35" s="42">
        <f>AB35+AA35+Z35+Y35+X35+V35+U35</f>
        <v>25430</v>
      </c>
      <c r="AD35" s="57">
        <f>30+15</f>
        <v>45</v>
      </c>
      <c r="AE35" s="57">
        <v>45</v>
      </c>
      <c r="AF35" s="57">
        <v>0</v>
      </c>
      <c r="AG35" s="57">
        <v>0</v>
      </c>
      <c r="AH35" s="57">
        <v>861</v>
      </c>
      <c r="AI35" s="57">
        <f>155</f>
        <v>155</v>
      </c>
      <c r="AJ35" s="43">
        <f>AD35+AE35</f>
        <v>90</v>
      </c>
      <c r="AK35" s="41">
        <f>AJ35*AN35</f>
        <v>11700</v>
      </c>
      <c r="AL35" s="41">
        <f>AK35+AI35+AH35+AG35+AF35</f>
        <v>12716</v>
      </c>
      <c r="AM35" s="41">
        <f>AL35+AC35</f>
        <v>38146</v>
      </c>
      <c r="AN35" s="44">
        <v>130</v>
      </c>
      <c r="AO35" s="57">
        <f>130+45+59.39</f>
        <v>234.39</v>
      </c>
      <c r="AP35" s="40">
        <f>32+13</f>
        <v>45</v>
      </c>
      <c r="AQ35" s="57">
        <v>5500</v>
      </c>
      <c r="AR35" s="40"/>
      <c r="AS35" s="40"/>
      <c r="AT35" s="40"/>
      <c r="AU35" s="40">
        <f>2000+3500</f>
        <v>5500</v>
      </c>
      <c r="AV35" s="44">
        <v>38</v>
      </c>
      <c r="AW35" s="40">
        <v>35</v>
      </c>
      <c r="AX35" s="40">
        <f>AV35*AW35</f>
        <v>1330</v>
      </c>
      <c r="AY35" s="40"/>
      <c r="AZ35" s="40"/>
      <c r="BA35" s="40"/>
      <c r="BB35" s="12">
        <f>AO35+AP35</f>
        <v>279.39</v>
      </c>
      <c r="BC35" s="41">
        <f>(BB35+AJ35)*AN35+AQ35</f>
        <v>53520.7</v>
      </c>
      <c r="BD35" s="46">
        <f>BC35+AB35</f>
        <v>78950.7</v>
      </c>
      <c r="BE35" s="46">
        <f>(BC35+BA35+AY35+AT35)+(AI35+AH35+AC35)+AX35+AZ35+AS35+AR35+AG35+AF35</f>
        <v>81296.7</v>
      </c>
      <c r="BF35" s="50">
        <f>AV35+AN35</f>
        <v>168</v>
      </c>
      <c r="BH35" s="132">
        <v>0</v>
      </c>
      <c r="BI35" s="132">
        <v>0</v>
      </c>
      <c r="BJ35" s="132">
        <v>0</v>
      </c>
      <c r="BK35" s="132">
        <v>0</v>
      </c>
      <c r="BL35" s="132">
        <v>0</v>
      </c>
      <c r="BM35" s="132">
        <v>0</v>
      </c>
      <c r="BN35" s="132">
        <v>0</v>
      </c>
      <c r="BO35" s="10">
        <f>AP35*AO35</f>
        <v>10547.55</v>
      </c>
      <c r="BP35" s="200"/>
      <c r="BQ35" s="132"/>
      <c r="BR35" s="132"/>
      <c r="BS35" s="132"/>
      <c r="BT35" s="132"/>
      <c r="BU35" s="132"/>
      <c r="BV35" s="132"/>
      <c r="BW35" s="132"/>
      <c r="BX35" s="132"/>
      <c r="BY35" s="132"/>
      <c r="BZ35" s="132"/>
      <c r="CA35" s="132"/>
      <c r="CB35" s="132"/>
      <c r="CC35" s="132"/>
      <c r="CD35" s="132"/>
      <c r="CE35" s="132"/>
      <c r="CF35" s="132"/>
      <c r="CG35" s="123">
        <f>SUM(BR35:CF35)</f>
        <v>0</v>
      </c>
    </row>
    <row r="36" spans="1:85" s="35" customFormat="1" x14ac:dyDescent="0.25">
      <c r="A36" s="30">
        <v>35</v>
      </c>
      <c r="B36" s="112">
        <v>45871</v>
      </c>
      <c r="C36" s="110" t="s">
        <v>130</v>
      </c>
      <c r="D36" s="110" t="s">
        <v>131</v>
      </c>
      <c r="E36" s="110" t="s">
        <v>74</v>
      </c>
      <c r="F36" s="110" t="s">
        <v>116</v>
      </c>
      <c r="G36" s="110" t="s">
        <v>12</v>
      </c>
      <c r="H36" s="59">
        <v>653</v>
      </c>
      <c r="I36" s="110" t="s">
        <v>5</v>
      </c>
      <c r="J36" s="39"/>
      <c r="K36" s="40">
        <v>45000</v>
      </c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11">
        <f>K36+L36+M36+N36+O36+P36+Q36+R36+T36</f>
        <v>45000</v>
      </c>
      <c r="AC36" s="42">
        <f>AB36+AA36+Z36+Y36+X36+V36+U36</f>
        <v>45000</v>
      </c>
      <c r="AD36" s="40"/>
      <c r="AE36" s="40"/>
      <c r="AF36" s="40"/>
      <c r="AG36" s="40"/>
      <c r="AH36" s="40"/>
      <c r="AI36" s="40"/>
      <c r="AJ36" s="43">
        <f>AD36+AE36</f>
        <v>0</v>
      </c>
      <c r="AK36" s="41">
        <f>AJ36*AN36</f>
        <v>0</v>
      </c>
      <c r="AL36" s="41">
        <f>AK36+AI36+AH36+AG36+AF36</f>
        <v>0</v>
      </c>
      <c r="AM36" s="88"/>
      <c r="AN36" s="44"/>
      <c r="AO36" s="40"/>
      <c r="AP36" s="40"/>
      <c r="AQ36" s="40"/>
      <c r="AR36" s="40"/>
      <c r="AS36" s="40"/>
      <c r="AT36" s="40"/>
      <c r="AU36" s="40"/>
      <c r="AV36" s="44"/>
      <c r="AW36" s="40"/>
      <c r="AX36" s="48"/>
      <c r="AY36" s="40"/>
      <c r="AZ36" s="40"/>
      <c r="BA36" s="40"/>
      <c r="BB36" s="12">
        <f>AO36+AP36</f>
        <v>0</v>
      </c>
      <c r="BC36" s="41">
        <f>(BB36+AJ36)*AN36+AQ36</f>
        <v>0</v>
      </c>
      <c r="BD36" s="205"/>
      <c r="BE36" s="46">
        <f>(BC36+BA36+AY36+AT36)+(AI36+AH36+AC36)+AX36+AZ36+AS36+AR36+AG36+AF36</f>
        <v>45000</v>
      </c>
      <c r="BF36" s="50">
        <f>AV36+AN36</f>
        <v>0</v>
      </c>
      <c r="BH36" s="132">
        <v>0</v>
      </c>
      <c r="BI36" s="132">
        <v>0</v>
      </c>
      <c r="BJ36" s="132">
        <v>0</v>
      </c>
      <c r="BK36" s="132">
        <v>0</v>
      </c>
      <c r="BL36" s="132">
        <v>0</v>
      </c>
      <c r="BM36" s="132">
        <v>0</v>
      </c>
      <c r="BN36" s="132">
        <v>0</v>
      </c>
      <c r="BO36" s="10">
        <f>AP36*AO36</f>
        <v>0</v>
      </c>
      <c r="BP36" s="200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  <c r="CF36" s="132"/>
      <c r="CG36" s="123">
        <f>SUM(BR36:CF36)</f>
        <v>0</v>
      </c>
    </row>
    <row r="37" spans="1:85" x14ac:dyDescent="0.25">
      <c r="A37" s="30">
        <v>36</v>
      </c>
      <c r="B37" s="112">
        <v>45873</v>
      </c>
      <c r="C37" s="110" t="s">
        <v>132</v>
      </c>
      <c r="D37" s="110" t="s">
        <v>133</v>
      </c>
      <c r="E37" s="110" t="s">
        <v>74</v>
      </c>
      <c r="F37" s="110" t="s">
        <v>90</v>
      </c>
      <c r="G37" s="110" t="s">
        <v>134</v>
      </c>
      <c r="H37" s="59">
        <v>664</v>
      </c>
      <c r="I37" s="110" t="s">
        <v>5</v>
      </c>
      <c r="J37" s="39"/>
      <c r="K37" s="40">
        <f>22000+3500</f>
        <v>25500</v>
      </c>
      <c r="L37" s="40">
        <v>2200</v>
      </c>
      <c r="M37" s="40">
        <v>0</v>
      </c>
      <c r="N37" s="40">
        <f>5250+2700</f>
        <v>7950</v>
      </c>
      <c r="O37" s="40">
        <v>4100</v>
      </c>
      <c r="P37" s="40"/>
      <c r="Q37" s="40"/>
      <c r="R37" s="40">
        <f>6300+3800+110+180+17080+7350+1200+2500+4500</f>
        <v>43020</v>
      </c>
      <c r="S37" s="40"/>
      <c r="T37" s="40"/>
      <c r="U37" s="40"/>
      <c r="V37" s="40"/>
      <c r="W37" s="40"/>
      <c r="X37" s="40"/>
      <c r="Y37" s="40"/>
      <c r="Z37" s="40">
        <v>14953.66</v>
      </c>
      <c r="AA37" s="40"/>
      <c r="AB37" s="41">
        <f>K37+L37+M37+N37+O37+P37+Q37+R37+T37</f>
        <v>82770</v>
      </c>
      <c r="AC37" s="41">
        <f>AB37+AA37+Z37+Y37+X37+V37+U37</f>
        <v>97723.66</v>
      </c>
      <c r="AD37" s="40">
        <f>8+27+8</f>
        <v>43</v>
      </c>
      <c r="AE37" s="57"/>
      <c r="AF37" s="57">
        <v>0</v>
      </c>
      <c r="AG37" s="57">
        <v>0</v>
      </c>
      <c r="AH37" s="57">
        <v>0</v>
      </c>
      <c r="AI37" s="57">
        <f>7040+4000</f>
        <v>11040</v>
      </c>
      <c r="AJ37" s="43">
        <f>AD37+AE37</f>
        <v>43</v>
      </c>
      <c r="AK37" s="41">
        <f>AJ37*AN37</f>
        <v>12900</v>
      </c>
      <c r="AL37" s="41">
        <f>AK37+AI37+AH37+AG37+AF37</f>
        <v>23940</v>
      </c>
      <c r="AM37" s="41">
        <f>AL37+AC37</f>
        <v>121663.66</v>
      </c>
      <c r="AN37" s="44">
        <v>300</v>
      </c>
      <c r="AO37" s="40">
        <f>78+39+39+78+39+78</f>
        <v>351</v>
      </c>
      <c r="AP37" s="40">
        <v>0</v>
      </c>
      <c r="AQ37" s="40">
        <f>16600+1750</f>
        <v>18350</v>
      </c>
      <c r="AR37" s="40"/>
      <c r="AS37" s="40"/>
      <c r="AT37" s="40"/>
      <c r="AU37" s="40"/>
      <c r="AV37" s="44"/>
      <c r="AW37" s="40"/>
      <c r="AX37" s="40">
        <f>AV37*AW37</f>
        <v>0</v>
      </c>
      <c r="AY37" s="40"/>
      <c r="AZ37" s="40"/>
      <c r="BA37" s="40">
        <v>33381.03</v>
      </c>
      <c r="BB37" s="12">
        <f>AO37+AP37</f>
        <v>351</v>
      </c>
      <c r="BC37" s="88">
        <f>(BB37+AJ37)*AN37+AQ37</f>
        <v>136550</v>
      </c>
      <c r="BD37" s="46">
        <f>BC37+AB37</f>
        <v>219320</v>
      </c>
      <c r="BE37" s="46">
        <f>(BC37+BA37+AY37+AT37)+(AI37+AH37+AC37)+AX37+AZ37+AS37+AR37+AG37+AF37</f>
        <v>278694.69</v>
      </c>
      <c r="BF37" s="50">
        <f>AV37+AN37</f>
        <v>300</v>
      </c>
      <c r="BH37" s="132">
        <v>0</v>
      </c>
      <c r="BI37" s="132">
        <v>0</v>
      </c>
      <c r="BJ37" s="132">
        <v>0</v>
      </c>
      <c r="BK37" s="132">
        <v>0</v>
      </c>
      <c r="BL37" s="132">
        <v>0</v>
      </c>
      <c r="BM37" s="132">
        <v>0</v>
      </c>
      <c r="BN37" s="132">
        <v>0</v>
      </c>
      <c r="BO37" s="10">
        <f>AP37*AO37</f>
        <v>0</v>
      </c>
      <c r="BP37" s="200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  <c r="CF37" s="132"/>
      <c r="CG37" s="123">
        <f>SUM(BR37:CF37)</f>
        <v>0</v>
      </c>
    </row>
    <row r="38" spans="1:85" x14ac:dyDescent="0.25">
      <c r="A38" s="30">
        <v>37</v>
      </c>
      <c r="B38" s="206">
        <v>45877</v>
      </c>
      <c r="C38" s="207" t="s">
        <v>332</v>
      </c>
      <c r="D38" s="207" t="s">
        <v>125</v>
      </c>
      <c r="E38" s="207" t="s">
        <v>11</v>
      </c>
      <c r="F38" s="207" t="s">
        <v>9</v>
      </c>
      <c r="G38" s="207" t="s">
        <v>10</v>
      </c>
      <c r="H38" s="19">
        <v>619</v>
      </c>
      <c r="I38" s="207" t="s">
        <v>5</v>
      </c>
      <c r="J38" s="64"/>
      <c r="K38" s="181">
        <v>15000</v>
      </c>
      <c r="L38" s="181">
        <v>1500</v>
      </c>
      <c r="M38" s="181">
        <v>1500</v>
      </c>
      <c r="N38" s="181">
        <f>6000</f>
        <v>6000</v>
      </c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>
        <v>0</v>
      </c>
      <c r="U38" s="181">
        <v>0</v>
      </c>
      <c r="V38" s="181">
        <v>920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1">
        <f>K38+L38+M38+N38+O38+P38+Q38+R38+T38</f>
        <v>24000</v>
      </c>
      <c r="AC38" s="11">
        <f>AB38+AA38+Z38+Y38+X38+V38+U38</f>
        <v>24920</v>
      </c>
      <c r="AD38" s="181">
        <v>40</v>
      </c>
      <c r="AE38" s="181">
        <v>38</v>
      </c>
      <c r="AF38" s="181">
        <v>0</v>
      </c>
      <c r="AG38" s="181">
        <v>0</v>
      </c>
      <c r="AH38" s="181">
        <v>0</v>
      </c>
      <c r="AI38" s="181">
        <v>0</v>
      </c>
      <c r="AJ38" s="12">
        <f>AD38+AE38</f>
        <v>78</v>
      </c>
      <c r="AK38" s="11">
        <f>AJ38*AN38</f>
        <v>20280</v>
      </c>
      <c r="AL38" s="11">
        <f>AK38+AI38+AH38+AG38+AF38</f>
        <v>20280</v>
      </c>
      <c r="AM38" s="11">
        <f>AL38+AC38</f>
        <v>45200</v>
      </c>
      <c r="AN38" s="203">
        <v>260</v>
      </c>
      <c r="AO38" s="181">
        <v>106</v>
      </c>
      <c r="AP38" s="181">
        <v>12</v>
      </c>
      <c r="AQ38" s="181"/>
      <c r="AR38" s="181"/>
      <c r="AS38" s="181"/>
      <c r="AT38" s="181">
        <v>1750</v>
      </c>
      <c r="AU38" s="181">
        <f>1560+928</f>
        <v>2488</v>
      </c>
      <c r="AV38" s="203">
        <v>195</v>
      </c>
      <c r="AW38" s="181">
        <v>109</v>
      </c>
      <c r="AX38" s="181">
        <f>AV38*AW38+1176</f>
        <v>22431</v>
      </c>
      <c r="AY38" s="181"/>
      <c r="AZ38" s="181"/>
      <c r="BA38" s="181"/>
      <c r="BB38" s="12">
        <f>AO38+AP38</f>
        <v>118</v>
      </c>
      <c r="BC38" s="204">
        <f>(BB38+AJ38)*AN38+AQ38</f>
        <v>50960</v>
      </c>
      <c r="BD38" s="14">
        <f>BC38+AB38</f>
        <v>74960</v>
      </c>
      <c r="BE38" s="14">
        <f>(BC38+BA38+AY38+AT38)+(AI38+AH38+AC38)+AX38+AZ38+AS38+AR38+AG38+AF38+AU38</f>
        <v>102549</v>
      </c>
      <c r="BF38" s="50">
        <f>AV38+AN38</f>
        <v>455</v>
      </c>
      <c r="BH38" s="181">
        <v>0</v>
      </c>
      <c r="BI38" s="181">
        <v>0</v>
      </c>
      <c r="BJ38" s="181">
        <f>BE19*10%</f>
        <v>12078.300000000001</v>
      </c>
      <c r="BK38" s="181">
        <v>0</v>
      </c>
      <c r="BL38" s="181">
        <v>0</v>
      </c>
      <c r="BM38" s="181">
        <v>0</v>
      </c>
      <c r="BN38" s="181">
        <v>0</v>
      </c>
      <c r="BO38" s="10">
        <f>AP38*AO38</f>
        <v>1272</v>
      </c>
      <c r="BP38" s="379"/>
      <c r="BQ38" s="181"/>
      <c r="BR38" s="181"/>
      <c r="BS38" s="181"/>
      <c r="BT38" s="181"/>
      <c r="BU38" s="181"/>
      <c r="BV38" s="181"/>
      <c r="BW38" s="181"/>
      <c r="BX38" s="181"/>
      <c r="BY38" s="181"/>
      <c r="BZ38" s="181"/>
      <c r="CA38" s="181"/>
      <c r="CB38" s="181"/>
      <c r="CC38" s="181"/>
      <c r="CD38" s="181"/>
      <c r="CE38" s="181"/>
      <c r="CF38" s="181"/>
      <c r="CG38" s="123">
        <f>SUM(BR38:CF38)</f>
        <v>0</v>
      </c>
    </row>
    <row r="39" spans="1:85" s="35" customFormat="1" x14ac:dyDescent="0.25">
      <c r="A39" s="30">
        <v>38</v>
      </c>
      <c r="B39" s="112">
        <v>45878</v>
      </c>
      <c r="C39" s="110" t="s">
        <v>135</v>
      </c>
      <c r="D39" s="110" t="s">
        <v>79</v>
      </c>
      <c r="E39" s="110" t="s">
        <v>1</v>
      </c>
      <c r="F39" s="110" t="s">
        <v>9</v>
      </c>
      <c r="G39" s="110" t="s">
        <v>10</v>
      </c>
      <c r="H39" s="115">
        <v>294</v>
      </c>
      <c r="I39" s="110" t="s">
        <v>5</v>
      </c>
      <c r="J39" s="47"/>
      <c r="K39" s="48">
        <v>15000</v>
      </c>
      <c r="L39" s="48">
        <v>1500</v>
      </c>
      <c r="M39" s="48">
        <v>2800</v>
      </c>
      <c r="N39" s="48">
        <v>9108</v>
      </c>
      <c r="O39" s="48">
        <v>0</v>
      </c>
      <c r="P39" s="48">
        <v>0</v>
      </c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11">
        <f>K39+L39+M39+N39+O39+P39+Q39+R39+T39</f>
        <v>28408</v>
      </c>
      <c r="AC39" s="41">
        <f>AB39+AA39+Z39+Y39+X39+V39+U39</f>
        <v>28408</v>
      </c>
      <c r="AD39" s="48">
        <v>45</v>
      </c>
      <c r="AE39" s="48"/>
      <c r="AF39" s="48">
        <v>23956</v>
      </c>
      <c r="AG39" s="48">
        <v>1250</v>
      </c>
      <c r="AH39" s="48">
        <v>15368</v>
      </c>
      <c r="AI39" s="48">
        <v>0</v>
      </c>
      <c r="AJ39" s="43">
        <f>AD39+AE39</f>
        <v>45</v>
      </c>
      <c r="AK39" s="41">
        <f>AJ39*AN39</f>
        <v>15750</v>
      </c>
      <c r="AL39" s="41">
        <f>AK39+AI39+AH39+AG39+AF39</f>
        <v>56324</v>
      </c>
      <c r="AM39" s="41">
        <f>AL39+AC39</f>
        <v>84732</v>
      </c>
      <c r="AN39" s="49">
        <v>350</v>
      </c>
      <c r="AO39" s="48">
        <v>90</v>
      </c>
      <c r="AP39" s="48">
        <v>0</v>
      </c>
      <c r="AQ39" s="48">
        <v>4380</v>
      </c>
      <c r="AR39" s="48"/>
      <c r="AS39" s="48"/>
      <c r="AT39" s="48">
        <v>0</v>
      </c>
      <c r="AU39" s="48"/>
      <c r="AV39" s="49">
        <v>554</v>
      </c>
      <c r="AW39" s="48">
        <v>135</v>
      </c>
      <c r="AX39" s="45">
        <f>AV39*AW39+1350</f>
        <v>76140</v>
      </c>
      <c r="AY39" s="48"/>
      <c r="AZ39" s="48"/>
      <c r="BA39" s="48"/>
      <c r="BB39" s="12">
        <f>AO39+AP39</f>
        <v>90</v>
      </c>
      <c r="BC39" s="41">
        <f>(BB39+AJ39)*AN39+AQ39</f>
        <v>51630</v>
      </c>
      <c r="BD39" s="46">
        <f>BC39+AB39</f>
        <v>80038</v>
      </c>
      <c r="BE39" s="46">
        <f>(BC39+BA39+AY39+AT39)+(AI39+AH39+AC39)+AX39+AZ39+AS39+AR39+AG39+AF39</f>
        <v>196752</v>
      </c>
      <c r="BF39" s="50">
        <f>AV39+AN39</f>
        <v>904</v>
      </c>
      <c r="BH39" s="16">
        <f>BF39*10%</f>
        <v>90.4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/>
      <c r="BO39" s="10">
        <f>AP39*AO39</f>
        <v>0</v>
      </c>
      <c r="BP39" s="128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23">
        <f>SUM(BR39:CF39)</f>
        <v>0</v>
      </c>
    </row>
    <row r="40" spans="1:85" x14ac:dyDescent="0.25">
      <c r="A40" s="30">
        <v>39</v>
      </c>
      <c r="B40" s="112">
        <v>45878</v>
      </c>
      <c r="C40" s="110" t="s">
        <v>136</v>
      </c>
      <c r="D40" s="110" t="s">
        <v>8</v>
      </c>
      <c r="E40" s="110" t="s">
        <v>11</v>
      </c>
      <c r="F40" s="110" t="s">
        <v>86</v>
      </c>
      <c r="G40" s="110" t="s">
        <v>86</v>
      </c>
      <c r="H40" s="59">
        <v>708</v>
      </c>
      <c r="I40" s="110" t="s">
        <v>137</v>
      </c>
      <c r="J40" s="39"/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1">
        <f>K40+L40+M40+N40+O40+P40+Q40+R40+T40</f>
        <v>0</v>
      </c>
      <c r="AC40" s="41">
        <f>AB40+AA40+Z40+Y40+X40+V40+U40+S40</f>
        <v>0</v>
      </c>
      <c r="AD40" s="40">
        <v>0</v>
      </c>
      <c r="AE40" s="40">
        <v>50</v>
      </c>
      <c r="AF40" s="40"/>
      <c r="AG40" s="40"/>
      <c r="AH40" s="40"/>
      <c r="AI40" s="40"/>
      <c r="AJ40" s="43">
        <f>AD40+AE40</f>
        <v>50</v>
      </c>
      <c r="AK40" s="41">
        <f>AJ40*AN40</f>
        <v>4000</v>
      </c>
      <c r="AL40" s="41">
        <f>AK40+AI40+AH40+AG40+AF40</f>
        <v>4000</v>
      </c>
      <c r="AM40" s="41">
        <f>AL40+AC40</f>
        <v>4000</v>
      </c>
      <c r="AN40" s="44">
        <v>80</v>
      </c>
      <c r="AO40" s="40"/>
      <c r="AP40" s="40"/>
      <c r="AQ40" s="40"/>
      <c r="AR40" s="40"/>
      <c r="AS40" s="40"/>
      <c r="AT40" s="40"/>
      <c r="AU40" s="40"/>
      <c r="AV40" s="44"/>
      <c r="AW40" s="39"/>
      <c r="AX40" s="39"/>
      <c r="AY40" s="39"/>
      <c r="AZ40" s="39"/>
      <c r="BA40" s="39"/>
      <c r="BB40" s="12">
        <f>AO40+AP40</f>
        <v>0</v>
      </c>
      <c r="BC40" s="88">
        <f>(BB40+AJ40)*AN40+AQ40</f>
        <v>4000</v>
      </c>
      <c r="BD40" s="46">
        <f>BC40+AB40</f>
        <v>4000</v>
      </c>
      <c r="BE40" s="46">
        <f>(BC40+BA40+AY40+AT40)+(AI40+AH40+AC40)+AX40+AZ40+AS40+AR40+AG40+AF40</f>
        <v>4000</v>
      </c>
      <c r="BF40" s="50">
        <f>AV40+AN40</f>
        <v>80</v>
      </c>
      <c r="BH40" s="132">
        <v>0</v>
      </c>
      <c r="BI40" s="132">
        <v>0</v>
      </c>
      <c r="BJ40" s="132">
        <v>0</v>
      </c>
      <c r="BK40" s="132">
        <v>0</v>
      </c>
      <c r="BL40" s="132">
        <v>0</v>
      </c>
      <c r="BM40" s="132">
        <v>0</v>
      </c>
      <c r="BN40" s="132">
        <v>0</v>
      </c>
      <c r="BO40" s="10">
        <f>AP40*AO40</f>
        <v>0</v>
      </c>
      <c r="BP40" s="200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2"/>
      <c r="CG40" s="123">
        <f>SUM(BR40:CF40)</f>
        <v>0</v>
      </c>
    </row>
    <row r="41" spans="1:85" s="35" customFormat="1" x14ac:dyDescent="0.25">
      <c r="A41" s="30">
        <v>40</v>
      </c>
      <c r="B41" s="225">
        <v>45884</v>
      </c>
      <c r="C41" s="226" t="s">
        <v>138</v>
      </c>
      <c r="D41" s="226" t="s">
        <v>139</v>
      </c>
      <c r="E41" s="226" t="s">
        <v>74</v>
      </c>
      <c r="F41" s="226" t="s">
        <v>90</v>
      </c>
      <c r="G41" s="226" t="s">
        <v>10</v>
      </c>
      <c r="H41" s="194">
        <v>700</v>
      </c>
      <c r="I41" s="226" t="s">
        <v>5</v>
      </c>
      <c r="J41" s="227"/>
      <c r="K41" s="230">
        <f>2000+18880</f>
        <v>20880</v>
      </c>
      <c r="L41" s="230">
        <v>0</v>
      </c>
      <c r="M41" s="230">
        <v>2500</v>
      </c>
      <c r="N41" s="230">
        <f>2200+1800+3500</f>
        <v>7500</v>
      </c>
      <c r="O41" s="230">
        <v>2970</v>
      </c>
      <c r="P41" s="230"/>
      <c r="Q41" s="230"/>
      <c r="R41" s="230"/>
      <c r="S41" s="230">
        <v>7350</v>
      </c>
      <c r="T41" s="230"/>
      <c r="U41" s="230">
        <f>59950</f>
        <v>59950</v>
      </c>
      <c r="V41" s="230">
        <f>1500+13900</f>
        <v>15400</v>
      </c>
      <c r="W41" s="230"/>
      <c r="X41" s="230"/>
      <c r="Y41" s="230"/>
      <c r="Z41" s="230">
        <v>4921.74</v>
      </c>
      <c r="AA41" s="230"/>
      <c r="AB41" s="41">
        <f>K41+L41+M41+N41+O41+P41+Q41+R41+T41</f>
        <v>33850</v>
      </c>
      <c r="AC41" s="53">
        <f>AB41+AA41+Z41+Y41+X41+V41+U41+S41</f>
        <v>121471.73999999999</v>
      </c>
      <c r="AD41" s="230">
        <v>35</v>
      </c>
      <c r="AE41" s="230">
        <v>0</v>
      </c>
      <c r="AF41" s="230">
        <v>0</v>
      </c>
      <c r="AG41" s="230">
        <f>1500+5750</f>
        <v>7250</v>
      </c>
      <c r="AH41" s="230">
        <v>0</v>
      </c>
      <c r="AI41" s="230">
        <v>0</v>
      </c>
      <c r="AJ41" s="119">
        <f>AD41+AE41</f>
        <v>35</v>
      </c>
      <c r="AK41" s="53">
        <f>AJ41*AN41</f>
        <v>31500</v>
      </c>
      <c r="AL41" s="53">
        <f>AK41+AI41+AH41+AG41+AF41</f>
        <v>38750</v>
      </c>
      <c r="AM41" s="53">
        <f>AL41+AC41</f>
        <v>160221.74</v>
      </c>
      <c r="AN41" s="228">
        <v>900</v>
      </c>
      <c r="AO41" s="230">
        <v>59</v>
      </c>
      <c r="AP41" s="230">
        <v>0</v>
      </c>
      <c r="AQ41" s="230"/>
      <c r="AR41" s="230"/>
      <c r="AS41" s="230"/>
      <c r="AT41" s="230"/>
      <c r="AU41" s="230">
        <f>4113.93</f>
        <v>4113.93</v>
      </c>
      <c r="AV41" s="228"/>
      <c r="AW41" s="227"/>
      <c r="AX41" s="227"/>
      <c r="AY41" s="227"/>
      <c r="AZ41" s="227"/>
      <c r="BA41" s="227"/>
      <c r="BB41" s="43">
        <f>AO41+AP41</f>
        <v>59</v>
      </c>
      <c r="BC41" s="229">
        <f>(BB41+AJ41)*AN41+AQ41</f>
        <v>84600</v>
      </c>
      <c r="BD41" s="55">
        <f>BC41+AB41</f>
        <v>118450</v>
      </c>
      <c r="BE41" s="55">
        <f>(BC41+BA41+AY41+AT41)+(AI41+AH41+AC41)+AX41+AZ41+AS41+AR41+AG41+AF41</f>
        <v>213321.74</v>
      </c>
      <c r="BF41" s="50">
        <f>AV41+AN41</f>
        <v>900</v>
      </c>
      <c r="BH41" s="230">
        <v>0</v>
      </c>
      <c r="BI41" s="230">
        <v>0</v>
      </c>
      <c r="BJ41" s="230">
        <v>0</v>
      </c>
      <c r="BK41" s="230">
        <v>0</v>
      </c>
      <c r="BL41" s="230">
        <v>0</v>
      </c>
      <c r="BM41" s="230">
        <v>0</v>
      </c>
      <c r="BN41" s="230">
        <v>0</v>
      </c>
      <c r="BO41" s="45">
        <f>AP41*AO41</f>
        <v>0</v>
      </c>
      <c r="BP41" s="231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219">
        <f>SUM(BR41:CF41)</f>
        <v>0</v>
      </c>
    </row>
    <row r="42" spans="1:85" s="220" customFormat="1" x14ac:dyDescent="0.25">
      <c r="A42" s="59">
        <v>41</v>
      </c>
      <c r="B42" s="113">
        <v>45888</v>
      </c>
      <c r="C42" s="47" t="s">
        <v>416</v>
      </c>
      <c r="D42" s="47" t="s">
        <v>133</v>
      </c>
      <c r="E42" s="47" t="s">
        <v>74</v>
      </c>
      <c r="F42" s="47" t="s">
        <v>90</v>
      </c>
      <c r="G42" s="47" t="s">
        <v>10</v>
      </c>
      <c r="H42" s="47">
        <v>732</v>
      </c>
      <c r="I42" s="47" t="s">
        <v>5</v>
      </c>
      <c r="J42" s="47"/>
      <c r="K42" s="48">
        <v>18630</v>
      </c>
      <c r="L42" s="48">
        <v>0</v>
      </c>
      <c r="M42" s="48">
        <v>0</v>
      </c>
      <c r="N42" s="48">
        <f>3500+2000</f>
        <v>5500</v>
      </c>
      <c r="O42" s="48">
        <v>2530</v>
      </c>
      <c r="P42" s="48"/>
      <c r="Q42" s="48"/>
      <c r="R42" s="48"/>
      <c r="S42" s="48">
        <v>5250</v>
      </c>
      <c r="T42" s="48"/>
      <c r="U42" s="48"/>
      <c r="V42" s="48"/>
      <c r="W42" s="48"/>
      <c r="X42" s="48"/>
      <c r="Y42" s="48"/>
      <c r="Z42" s="48"/>
      <c r="AA42" s="48">
        <v>1200</v>
      </c>
      <c r="AB42" s="11">
        <f>K42+L42+M42+N42+O42+P42+Q42+R42+T42</f>
        <v>26660</v>
      </c>
      <c r="AC42" s="368">
        <f>AB42+AA42+Z42+Y42+X42+V42+U42+S42</f>
        <v>33110</v>
      </c>
      <c r="AD42" s="48">
        <v>25</v>
      </c>
      <c r="AE42" s="48">
        <v>0</v>
      </c>
      <c r="AF42" s="48">
        <v>0</v>
      </c>
      <c r="AG42" s="48">
        <v>0</v>
      </c>
      <c r="AH42" s="48">
        <v>0</v>
      </c>
      <c r="AI42" s="48"/>
      <c r="AJ42" s="12">
        <f>AD42+AE42</f>
        <v>25</v>
      </c>
      <c r="AK42" s="368">
        <f>AJ42*AN42</f>
        <v>10000</v>
      </c>
      <c r="AL42" s="368">
        <f>AK42+AI42+AH42+AG42+AF42</f>
        <v>10000</v>
      </c>
      <c r="AM42" s="368">
        <f>AL42+AC42</f>
        <v>43110</v>
      </c>
      <c r="AN42" s="49">
        <v>400</v>
      </c>
      <c r="AO42" s="48">
        <v>78</v>
      </c>
      <c r="AP42" s="48">
        <v>0</v>
      </c>
      <c r="AQ42" s="48">
        <v>5250</v>
      </c>
      <c r="AR42" s="48">
        <v>0</v>
      </c>
      <c r="AS42" s="48">
        <v>0</v>
      </c>
      <c r="AT42" s="48">
        <v>0</v>
      </c>
      <c r="AU42" s="48"/>
      <c r="AV42" s="49"/>
      <c r="AW42" s="47"/>
      <c r="AX42" s="47"/>
      <c r="AY42" s="47"/>
      <c r="AZ42" s="47"/>
      <c r="BA42" s="47"/>
      <c r="BB42" s="12">
        <f>AO42+AP42</f>
        <v>78</v>
      </c>
      <c r="BC42" s="373">
        <f>(BB42+AJ42)*AN42+AQ42</f>
        <v>46450</v>
      </c>
      <c r="BD42" s="374">
        <f>BC42+AB42</f>
        <v>73110</v>
      </c>
      <c r="BE42" s="374">
        <f>(BC42+BA42+AY42+AT42)+(AI42+AH42+AC42)+AX42+AZ42+AS42+AR42+AG42+AF42</f>
        <v>79560</v>
      </c>
      <c r="BF42" s="50"/>
      <c r="BH42" s="45"/>
      <c r="BI42" s="45"/>
      <c r="BJ42" s="45"/>
      <c r="BK42" s="45"/>
      <c r="BL42" s="45"/>
      <c r="BM42" s="45"/>
      <c r="BN42" s="45"/>
      <c r="BO42" s="45"/>
      <c r="BP42" s="380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219"/>
    </row>
    <row r="43" spans="1:85" s="35" customFormat="1" x14ac:dyDescent="0.25">
      <c r="A43" s="30">
        <v>42</v>
      </c>
      <c r="B43" s="112">
        <v>45892</v>
      </c>
      <c r="C43" s="110" t="s">
        <v>140</v>
      </c>
      <c r="D43" s="110" t="s">
        <v>8</v>
      </c>
      <c r="E43" s="110" t="s">
        <v>11</v>
      </c>
      <c r="F43" s="110" t="s">
        <v>17</v>
      </c>
      <c r="G43" s="110" t="s">
        <v>86</v>
      </c>
      <c r="H43" s="59">
        <v>693</v>
      </c>
      <c r="I43" s="110"/>
      <c r="J43" s="39"/>
      <c r="K43" s="4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40">
        <v>0</v>
      </c>
      <c r="V43" s="40">
        <v>0</v>
      </c>
      <c r="W43" s="40">
        <v>0</v>
      </c>
      <c r="X43" s="40">
        <v>0</v>
      </c>
      <c r="Y43" s="40">
        <v>0</v>
      </c>
      <c r="Z43" s="90">
        <v>0</v>
      </c>
      <c r="AA43" s="90">
        <v>0</v>
      </c>
      <c r="AB43" s="41">
        <f>K43+L43+M43+N43+O43+P43+Q43+R43+T43</f>
        <v>0</v>
      </c>
      <c r="AC43" s="41">
        <f>AB43+AA43+Z43+Y43+X43+V43+U43+S43</f>
        <v>0</v>
      </c>
      <c r="AD43" s="90">
        <v>0</v>
      </c>
      <c r="AE43" s="90">
        <v>55</v>
      </c>
      <c r="AF43" s="40"/>
      <c r="AG43" s="40"/>
      <c r="AH43" s="40"/>
      <c r="AI43" s="40"/>
      <c r="AJ43" s="12">
        <f>AD43+AE43</f>
        <v>55</v>
      </c>
      <c r="AK43" s="41">
        <f>AJ43*AN43</f>
        <v>4950</v>
      </c>
      <c r="AL43" s="41">
        <f>AK43+AI43+AH43+AG43+AF43</f>
        <v>4950</v>
      </c>
      <c r="AM43" s="41">
        <f>AL43+AC43</f>
        <v>4950</v>
      </c>
      <c r="AN43" s="44">
        <v>90</v>
      </c>
      <c r="AO43" s="40"/>
      <c r="AP43" s="40"/>
      <c r="AQ43" s="40"/>
      <c r="AR43" s="40"/>
      <c r="AS43" s="40"/>
      <c r="AT43" s="40"/>
      <c r="AU43" s="40"/>
      <c r="AV43" s="44"/>
      <c r="AW43" s="39"/>
      <c r="AX43" s="39"/>
      <c r="AY43" s="39"/>
      <c r="AZ43" s="39"/>
      <c r="BA43" s="39"/>
      <c r="BB43" s="12">
        <f>AO43+AP43</f>
        <v>0</v>
      </c>
      <c r="BC43" s="229">
        <f>(BB43+AJ43)*AN43+AQ43</f>
        <v>4950</v>
      </c>
      <c r="BD43" s="46">
        <f>BC43+AB43</f>
        <v>4950</v>
      </c>
      <c r="BE43" s="46">
        <f>(BC43+BA43+AY43+AT43)+(AI43+AH43+AC43)+AX43+AZ43+AS43+AR43+AG43+AF43</f>
        <v>4950</v>
      </c>
      <c r="BF43" s="50">
        <f>AV43+AN43</f>
        <v>90</v>
      </c>
      <c r="BH43" s="40">
        <v>0</v>
      </c>
      <c r="BI43" s="40">
        <v>0</v>
      </c>
      <c r="BJ43" s="40">
        <v>0</v>
      </c>
      <c r="BK43" s="40">
        <v>0</v>
      </c>
      <c r="BL43" s="40">
        <v>0</v>
      </c>
      <c r="BM43" s="40">
        <v>0</v>
      </c>
      <c r="BN43" s="40">
        <v>0</v>
      </c>
      <c r="BO43" s="45">
        <f>AP43*AO43</f>
        <v>0</v>
      </c>
      <c r="BP43" s="218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219">
        <f>SUM(BR43:CF43)</f>
        <v>0</v>
      </c>
    </row>
    <row r="44" spans="1:85" s="35" customFormat="1" x14ac:dyDescent="0.25">
      <c r="A44" s="30">
        <v>43</v>
      </c>
      <c r="B44" s="112">
        <v>45897</v>
      </c>
      <c r="C44" s="110" t="s">
        <v>141</v>
      </c>
      <c r="D44" s="110" t="s">
        <v>142</v>
      </c>
      <c r="E44" s="110" t="s">
        <v>74</v>
      </c>
      <c r="F44" s="110" t="s">
        <v>90</v>
      </c>
      <c r="G44" s="110" t="s">
        <v>10</v>
      </c>
      <c r="H44" s="59">
        <v>639</v>
      </c>
      <c r="I44" s="110" t="s">
        <v>5</v>
      </c>
      <c r="J44" s="47"/>
      <c r="K44" s="48">
        <v>16000</v>
      </c>
      <c r="L44" s="48">
        <v>0</v>
      </c>
      <c r="M44" s="48"/>
      <c r="N44" s="48">
        <v>6460</v>
      </c>
      <c r="O44" s="48">
        <v>2970</v>
      </c>
      <c r="P44" s="48">
        <v>0</v>
      </c>
      <c r="Q44" s="48">
        <v>0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f>350+1000</f>
        <v>1350</v>
      </c>
      <c r="X44" s="48">
        <v>0</v>
      </c>
      <c r="Y44" s="48">
        <v>0</v>
      </c>
      <c r="Z44" s="48">
        <v>0</v>
      </c>
      <c r="AA44" s="48">
        <v>0</v>
      </c>
      <c r="AB44" s="41">
        <f>K44+L44+M44+N44+O44+P44+Q44+R44+T44</f>
        <v>25430</v>
      </c>
      <c r="AC44" s="42">
        <f>AB44+AA44+Z44+Y44+X44+V44+U44</f>
        <v>25430</v>
      </c>
      <c r="AD44" s="48">
        <v>17</v>
      </c>
      <c r="AE44" s="48">
        <v>0</v>
      </c>
      <c r="AF44" s="48">
        <v>0</v>
      </c>
      <c r="AG44" s="48">
        <v>0</v>
      </c>
      <c r="AH44" s="48">
        <v>0</v>
      </c>
      <c r="AI44" s="48">
        <v>0</v>
      </c>
      <c r="AJ44" s="12">
        <f>AD44+AE44</f>
        <v>17</v>
      </c>
      <c r="AK44" s="41">
        <f>AJ44*AN44</f>
        <v>4250</v>
      </c>
      <c r="AL44" s="41">
        <f>AK44+AI44+AH44+AG44+AF44</f>
        <v>4250</v>
      </c>
      <c r="AM44" s="41">
        <f>AL44+AC44</f>
        <v>29680</v>
      </c>
      <c r="AN44" s="49">
        <v>250</v>
      </c>
      <c r="AO44" s="48">
        <v>120</v>
      </c>
      <c r="AP44" s="48">
        <v>8.18</v>
      </c>
      <c r="AQ44" s="48">
        <v>3550</v>
      </c>
      <c r="AR44" s="48">
        <v>0</v>
      </c>
      <c r="AS44" s="48">
        <v>0</v>
      </c>
      <c r="AT44" s="48">
        <v>0</v>
      </c>
      <c r="AU44" s="48">
        <v>0</v>
      </c>
      <c r="AV44" s="49">
        <v>0</v>
      </c>
      <c r="AW44" s="48">
        <v>0</v>
      </c>
      <c r="AX44" s="48">
        <v>0</v>
      </c>
      <c r="AY44" s="48">
        <v>0</v>
      </c>
      <c r="AZ44" s="48">
        <v>0</v>
      </c>
      <c r="BA44" s="48">
        <f>263.04+5929.41</f>
        <v>6192.45</v>
      </c>
      <c r="BB44" s="12">
        <f>AO44+AP44</f>
        <v>128.18</v>
      </c>
      <c r="BC44" s="41">
        <f>(BB44+AJ44)*AN44+AQ44</f>
        <v>39845</v>
      </c>
      <c r="BD44" s="46">
        <f>BC44+AB44</f>
        <v>65275</v>
      </c>
      <c r="BE44" s="46">
        <f>(BC44+BA44+AY44+AT44)+(AI44+AH44+AC44)+AX44+AZ44+AS44+AR44+AG44+AF44</f>
        <v>71467.45</v>
      </c>
      <c r="BF44" s="50">
        <f>AV44+AN44</f>
        <v>250</v>
      </c>
      <c r="BH44" s="48">
        <v>0</v>
      </c>
      <c r="BI44" s="48">
        <v>0</v>
      </c>
      <c r="BJ44" s="48">
        <v>0</v>
      </c>
      <c r="BK44" s="48">
        <v>0</v>
      </c>
      <c r="BL44" s="48">
        <v>0</v>
      </c>
      <c r="BM44" s="48">
        <v>0</v>
      </c>
      <c r="BN44" s="48">
        <v>0</v>
      </c>
      <c r="BO44" s="45">
        <f>AP44*AO44</f>
        <v>981.59999999999991</v>
      </c>
      <c r="BP44" s="380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219">
        <f>SUM(BR44:CF44)</f>
        <v>0</v>
      </c>
    </row>
    <row r="45" spans="1:85" s="35" customFormat="1" x14ac:dyDescent="0.25">
      <c r="A45" s="30">
        <v>44</v>
      </c>
      <c r="B45" s="112">
        <v>45899</v>
      </c>
      <c r="C45" s="110" t="s">
        <v>143</v>
      </c>
      <c r="D45" s="110" t="s">
        <v>5</v>
      </c>
      <c r="E45" s="110" t="s">
        <v>74</v>
      </c>
      <c r="F45" s="110" t="s">
        <v>90</v>
      </c>
      <c r="G45" s="110" t="s">
        <v>12</v>
      </c>
      <c r="H45" s="59">
        <v>701</v>
      </c>
      <c r="I45" s="110" t="s">
        <v>5</v>
      </c>
      <c r="J45" s="39"/>
      <c r="K45" s="40">
        <f>26000+2500</f>
        <v>28500</v>
      </c>
      <c r="L45" s="40">
        <v>0</v>
      </c>
      <c r="M45" s="40">
        <v>2500</v>
      </c>
      <c r="N45" s="40">
        <v>6000</v>
      </c>
      <c r="O45" s="40">
        <v>3190</v>
      </c>
      <c r="P45" s="40">
        <v>0</v>
      </c>
      <c r="Q45" s="40">
        <v>0</v>
      </c>
      <c r="R45" s="40">
        <v>0</v>
      </c>
      <c r="S45" s="40">
        <f>11200+800</f>
        <v>12000</v>
      </c>
      <c r="T45" s="40"/>
      <c r="U45" s="40"/>
      <c r="V45" s="40"/>
      <c r="W45" s="40"/>
      <c r="X45" s="40"/>
      <c r="Y45" s="40"/>
      <c r="Z45" s="40"/>
      <c r="AA45" s="40">
        <f>15000+46131</f>
        <v>61131</v>
      </c>
      <c r="AB45" s="41">
        <f>K45+L45+M45+N45+O45+P45+Q45+R45+T45</f>
        <v>40190</v>
      </c>
      <c r="AC45" s="41">
        <f>AB45+AA45+Z45+Y45+X45+V45+U45+S45</f>
        <v>113321</v>
      </c>
      <c r="AD45" s="40"/>
      <c r="AE45" s="40"/>
      <c r="AF45" s="40"/>
      <c r="AG45" s="40"/>
      <c r="AH45" s="40"/>
      <c r="AI45" s="40"/>
      <c r="AJ45" s="12">
        <f>AD45+AE45</f>
        <v>0</v>
      </c>
      <c r="AK45" s="41">
        <f>AJ45*AN45</f>
        <v>0</v>
      </c>
      <c r="AL45" s="41">
        <f>AK45+AI45+AH45+AG45+AF45</f>
        <v>0</v>
      </c>
      <c r="AM45" s="41">
        <f>AL45+AC45</f>
        <v>113321</v>
      </c>
      <c r="AN45" s="44"/>
      <c r="AO45" s="40"/>
      <c r="AP45" s="40"/>
      <c r="AQ45" s="40"/>
      <c r="AR45" s="40"/>
      <c r="AS45" s="40"/>
      <c r="AT45" s="40"/>
      <c r="AU45" s="40"/>
      <c r="AV45" s="44"/>
      <c r="AW45" s="39"/>
      <c r="AX45" s="39"/>
      <c r="AY45" s="39"/>
      <c r="AZ45" s="39"/>
      <c r="BA45" s="39"/>
      <c r="BB45" s="12">
        <f>AO45+AP45</f>
        <v>0</v>
      </c>
      <c r="BC45" s="88">
        <f>(BB45+AJ45)*AN45+AQ45</f>
        <v>0</v>
      </c>
      <c r="BD45" s="46">
        <f>BC45+AB45</f>
        <v>40190</v>
      </c>
      <c r="BE45" s="46">
        <f>(BC45+BA45+AY45+AT45)+(AI45+AH45+AC45)+AX45+AZ45+AS45+AR45+AG45+AF45</f>
        <v>113321</v>
      </c>
      <c r="BF45" s="50">
        <f>AV45+AN45</f>
        <v>0</v>
      </c>
      <c r="BH45" s="40">
        <v>0</v>
      </c>
      <c r="BI45" s="40">
        <v>0</v>
      </c>
      <c r="BJ45" s="40">
        <v>0</v>
      </c>
      <c r="BK45" s="40">
        <v>0</v>
      </c>
      <c r="BL45" s="40">
        <v>0</v>
      </c>
      <c r="BM45" s="40">
        <v>0</v>
      </c>
      <c r="BN45" s="40">
        <v>0</v>
      </c>
      <c r="BO45" s="45">
        <f>AP45*AO45</f>
        <v>0</v>
      </c>
      <c r="BP45" s="218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219">
        <f>SUM(BR45:CF45)</f>
        <v>0</v>
      </c>
    </row>
    <row r="46" spans="1:85" s="222" customFormat="1" x14ac:dyDescent="0.25">
      <c r="A46" s="221">
        <v>45</v>
      </c>
      <c r="B46" s="224">
        <v>45908</v>
      </c>
      <c r="C46" s="101" t="s">
        <v>107</v>
      </c>
      <c r="D46" s="101" t="s">
        <v>93</v>
      </c>
      <c r="E46" s="101" t="s">
        <v>74</v>
      </c>
      <c r="F46" s="101" t="s">
        <v>94</v>
      </c>
      <c r="G46" s="101" t="s">
        <v>10</v>
      </c>
      <c r="H46" s="101">
        <v>646</v>
      </c>
      <c r="I46" s="101" t="s">
        <v>5</v>
      </c>
      <c r="J46" s="101"/>
      <c r="K46" s="223">
        <v>0</v>
      </c>
      <c r="L46" s="223">
        <v>0</v>
      </c>
      <c r="M46" s="223">
        <v>0</v>
      </c>
      <c r="N46" s="223">
        <v>0</v>
      </c>
      <c r="O46" s="223">
        <v>0</v>
      </c>
      <c r="P46" s="223">
        <v>0</v>
      </c>
      <c r="Q46" s="223">
        <v>0</v>
      </c>
      <c r="R46" s="223">
        <v>0</v>
      </c>
      <c r="S46" s="223">
        <v>0</v>
      </c>
      <c r="T46" s="223">
        <v>0</v>
      </c>
      <c r="U46" s="223">
        <v>0</v>
      </c>
      <c r="V46" s="223">
        <v>0</v>
      </c>
      <c r="W46" s="223">
        <v>0</v>
      </c>
      <c r="X46" s="223">
        <v>0</v>
      </c>
      <c r="Y46" s="223">
        <v>0</v>
      </c>
      <c r="Z46" s="223">
        <v>0</v>
      </c>
      <c r="AA46" s="223">
        <v>0</v>
      </c>
      <c r="AB46" s="41">
        <f>K46+L46+M46+N46+O46+P46+Q46+R46+T46</f>
        <v>0</v>
      </c>
      <c r="AC46" s="41">
        <f>AB46+AA46+Z46+Y46+X46+V46+U46+S46</f>
        <v>0</v>
      </c>
      <c r="AD46" s="223">
        <v>17</v>
      </c>
      <c r="AE46" s="223">
        <v>0</v>
      </c>
      <c r="AF46" s="223">
        <v>0</v>
      </c>
      <c r="AG46" s="223">
        <v>0</v>
      </c>
      <c r="AH46" s="223">
        <v>0</v>
      </c>
      <c r="AI46" s="223">
        <v>0</v>
      </c>
      <c r="AJ46" s="12">
        <f>AD46+AE46</f>
        <v>17</v>
      </c>
      <c r="AK46" s="41">
        <f>AJ46*AN46</f>
        <v>10982</v>
      </c>
      <c r="AL46" s="41">
        <f>AK46+AI46+AH46+AG46+AF46</f>
        <v>10982</v>
      </c>
      <c r="AM46" s="41">
        <f>AL46+AC46</f>
        <v>10982</v>
      </c>
      <c r="AN46" s="117">
        <v>646</v>
      </c>
      <c r="AO46" s="223">
        <v>82</v>
      </c>
      <c r="AP46" s="223"/>
      <c r="AQ46" s="223"/>
      <c r="AR46" s="223"/>
      <c r="AS46" s="223"/>
      <c r="AT46" s="223"/>
      <c r="AU46" s="223"/>
      <c r="AV46" s="117"/>
      <c r="AW46" s="101"/>
      <c r="AX46" s="101"/>
      <c r="AY46" s="101"/>
      <c r="AZ46" s="101"/>
      <c r="BA46" s="101"/>
      <c r="BB46" s="12">
        <f>AO46+AP46</f>
        <v>82</v>
      </c>
      <c r="BC46" s="116">
        <f>(BB46+AJ46)*AN46+AQ46</f>
        <v>63954</v>
      </c>
      <c r="BD46" s="46">
        <f>BC46+AB46</f>
        <v>63954</v>
      </c>
      <c r="BE46" s="46">
        <f>(BC46+BA46+AY46+AT46)+(AI46+AH46+AC46)+AX46+AZ46+AS46+AR46+AG46+AF46</f>
        <v>63954</v>
      </c>
      <c r="BF46" s="50">
        <f>AV46+AN46</f>
        <v>646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f>AP46*AO46</f>
        <v>0</v>
      </c>
      <c r="BP46" s="366"/>
      <c r="BQ46" s="223"/>
      <c r="BR46" s="223"/>
      <c r="BS46" s="223"/>
      <c r="BT46" s="223"/>
      <c r="BU46" s="223"/>
      <c r="BV46" s="223"/>
      <c r="BW46" s="223"/>
      <c r="BX46" s="223"/>
      <c r="BY46" s="223"/>
      <c r="BZ46" s="223"/>
      <c r="CA46" s="223"/>
      <c r="CB46" s="223"/>
      <c r="CC46" s="223"/>
      <c r="CD46" s="223"/>
      <c r="CE46" s="223"/>
      <c r="CF46" s="223"/>
      <c r="CG46" s="219">
        <f>SUM(BR46:CF46)</f>
        <v>0</v>
      </c>
    </row>
    <row r="47" spans="1:85" s="35" customFormat="1" x14ac:dyDescent="0.25">
      <c r="A47" s="30">
        <v>46</v>
      </c>
      <c r="B47" s="111">
        <v>45922</v>
      </c>
      <c r="C47" s="49" t="s">
        <v>144</v>
      </c>
      <c r="D47" s="49" t="s">
        <v>5</v>
      </c>
      <c r="E47" s="49" t="s">
        <v>18</v>
      </c>
      <c r="F47" s="49" t="s">
        <v>145</v>
      </c>
      <c r="G47" s="49" t="s">
        <v>2</v>
      </c>
      <c r="H47" s="115">
        <v>522</v>
      </c>
      <c r="I47" s="49" t="s">
        <v>5</v>
      </c>
      <c r="J47" s="60"/>
      <c r="K47" s="45">
        <v>36000</v>
      </c>
      <c r="L47" s="45">
        <v>0</v>
      </c>
      <c r="M47" s="45">
        <v>0</v>
      </c>
      <c r="N47" s="45">
        <v>0</v>
      </c>
      <c r="O47" s="45">
        <v>4650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1">
        <f>K47+L47+M47+N47+O47+P47+Q47+R47+T47</f>
        <v>40650</v>
      </c>
      <c r="AC47" s="41">
        <f>AB47+AA47+Z47+Y47+X47+V47+U47</f>
        <v>40650</v>
      </c>
      <c r="AD47" s="45">
        <v>20</v>
      </c>
      <c r="AE47" s="45">
        <v>0</v>
      </c>
      <c r="AF47" s="45">
        <v>0</v>
      </c>
      <c r="AG47" s="45">
        <v>0</v>
      </c>
      <c r="AH47" s="45">
        <v>0</v>
      </c>
      <c r="AI47" s="45">
        <v>400</v>
      </c>
      <c r="AJ47" s="12">
        <f>AD47+AE47</f>
        <v>20</v>
      </c>
      <c r="AK47" s="41">
        <f>AJ47*AN47</f>
        <v>24000</v>
      </c>
      <c r="AL47" s="41">
        <f>AK47+AI47+AH47+AG47+AF47</f>
        <v>24400</v>
      </c>
      <c r="AM47" s="41">
        <f>AL47+AC47</f>
        <v>65050</v>
      </c>
      <c r="AN47" s="49">
        <v>1200</v>
      </c>
      <c r="AO47" s="45">
        <f>59+26.33333</f>
        <v>85.333330000000004</v>
      </c>
      <c r="AP47" s="45">
        <v>0</v>
      </c>
      <c r="AQ47" s="45">
        <v>0</v>
      </c>
      <c r="AR47" s="45">
        <v>0</v>
      </c>
      <c r="AS47" s="45">
        <v>0</v>
      </c>
      <c r="AT47" s="45">
        <v>0</v>
      </c>
      <c r="AU47" s="45">
        <v>0</v>
      </c>
      <c r="AV47" s="49"/>
      <c r="AW47" s="45">
        <v>0</v>
      </c>
      <c r="AX47" s="45">
        <f>AV47*AW47</f>
        <v>0</v>
      </c>
      <c r="AY47" s="45"/>
      <c r="AZ47" s="45"/>
      <c r="BA47" s="45"/>
      <c r="BB47" s="12">
        <f>AO47+AP47</f>
        <v>85.333330000000004</v>
      </c>
      <c r="BC47" s="41">
        <f>(BB47+AJ47)*AN47+AQ47</f>
        <v>126399.996</v>
      </c>
      <c r="BD47" s="46">
        <f>BC47+AB47</f>
        <v>167049.99599999998</v>
      </c>
      <c r="BE47" s="46">
        <f>(BC47+BA47+AY47+AT47)+(AI47+AH47+AC47)+AX47+AZ47+AS47+AR47+AG47+AF47</f>
        <v>167449.99599999998</v>
      </c>
      <c r="BF47" s="50">
        <f>AV47+AN47</f>
        <v>1200</v>
      </c>
      <c r="BH47" s="45">
        <v>0</v>
      </c>
      <c r="BI47" s="45">
        <v>0</v>
      </c>
      <c r="BJ47" s="45">
        <v>0</v>
      </c>
      <c r="BK47" s="45">
        <v>0</v>
      </c>
      <c r="BL47" s="45">
        <v>0</v>
      </c>
      <c r="BM47" s="45">
        <v>0</v>
      </c>
      <c r="BN47" s="45">
        <v>0</v>
      </c>
      <c r="BO47" s="45">
        <f>AP47*AO47</f>
        <v>0</v>
      </c>
      <c r="BP47" s="60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219">
        <f>SUM(BR47:CF47)</f>
        <v>0</v>
      </c>
    </row>
    <row r="48" spans="1:85" s="35" customFormat="1" x14ac:dyDescent="0.25">
      <c r="A48" s="30">
        <v>47</v>
      </c>
      <c r="B48" s="111">
        <v>45926</v>
      </c>
      <c r="C48" s="49" t="s">
        <v>102</v>
      </c>
      <c r="D48" s="49" t="s">
        <v>5</v>
      </c>
      <c r="E48" s="49" t="s">
        <v>11</v>
      </c>
      <c r="F48" s="49" t="s">
        <v>9</v>
      </c>
      <c r="G48" s="49" t="s">
        <v>2</v>
      </c>
      <c r="H48" s="59">
        <v>577</v>
      </c>
      <c r="I48" s="49" t="s">
        <v>146</v>
      </c>
      <c r="J48" s="52"/>
      <c r="K48" s="48">
        <v>18630</v>
      </c>
      <c r="L48" s="48">
        <v>1863</v>
      </c>
      <c r="M48" s="48">
        <v>1800</v>
      </c>
      <c r="N48" s="48">
        <v>6300</v>
      </c>
      <c r="O48" s="48">
        <v>0</v>
      </c>
      <c r="P48" s="48">
        <v>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950</v>
      </c>
      <c r="W48" s="48">
        <v>0</v>
      </c>
      <c r="X48" s="48">
        <v>0</v>
      </c>
      <c r="Y48" s="48">
        <v>0</v>
      </c>
      <c r="Z48" s="48">
        <v>0</v>
      </c>
      <c r="AA48" s="48">
        <v>0</v>
      </c>
      <c r="AB48" s="41">
        <f>K48+L48+M48+N48+O48+P48+Q48+R48+T48-593</f>
        <v>28000</v>
      </c>
      <c r="AC48" s="41">
        <f>AB48+AA48+Z48+Y48+X48+V48+U48</f>
        <v>28950</v>
      </c>
      <c r="AD48" s="48">
        <v>37</v>
      </c>
      <c r="AE48" s="48">
        <f>35+65</f>
        <v>100</v>
      </c>
      <c r="AF48" s="48">
        <v>0</v>
      </c>
      <c r="AG48" s="48">
        <v>0</v>
      </c>
      <c r="AH48" s="48">
        <v>0</v>
      </c>
      <c r="AI48" s="48">
        <v>0</v>
      </c>
      <c r="AJ48" s="12">
        <f>AD48+AE48</f>
        <v>137</v>
      </c>
      <c r="AK48" s="41">
        <f>AJ48*AN48</f>
        <v>47950</v>
      </c>
      <c r="AL48" s="41">
        <f>AK48+AI48+AH48+AG48+AF48</f>
        <v>47950</v>
      </c>
      <c r="AM48" s="41">
        <f>AL48+AC48</f>
        <v>76900</v>
      </c>
      <c r="AN48" s="49">
        <v>350</v>
      </c>
      <c r="AO48" s="48">
        <v>96</v>
      </c>
      <c r="AP48" s="48">
        <v>0</v>
      </c>
      <c r="AQ48" s="48">
        <v>0</v>
      </c>
      <c r="AR48" s="48">
        <v>0</v>
      </c>
      <c r="AS48" s="48"/>
      <c r="AT48" s="48"/>
      <c r="AU48" s="48">
        <v>500</v>
      </c>
      <c r="AV48" s="49"/>
      <c r="AW48" s="48"/>
      <c r="AX48" s="45">
        <f>AV48*AW48</f>
        <v>0</v>
      </c>
      <c r="AY48" s="48"/>
      <c r="AZ48" s="48"/>
      <c r="BA48" s="48"/>
      <c r="BB48" s="12">
        <f>AO48+AP48</f>
        <v>96</v>
      </c>
      <c r="BC48" s="41">
        <f>(BB48+AJ48)*AN48+AQ48</f>
        <v>81550</v>
      </c>
      <c r="BD48" s="46">
        <f>BC48+AB48</f>
        <v>109550</v>
      </c>
      <c r="BE48" s="46">
        <f>(BC48+BA48+AY48+AT48)+(AI48+AH48+AC48)+AX48+AZ48+AS48+AR48+AG48+AF48</f>
        <v>110500</v>
      </c>
      <c r="BF48" s="50">
        <f>AV48+AN48</f>
        <v>350</v>
      </c>
      <c r="BH48" s="45">
        <v>0</v>
      </c>
      <c r="BI48" s="45">
        <v>0</v>
      </c>
      <c r="BJ48" s="45" t="e">
        <f>#REF!*10%</f>
        <v>#REF!</v>
      </c>
      <c r="BK48" s="45">
        <v>0</v>
      </c>
      <c r="BL48" s="45">
        <v>0</v>
      </c>
      <c r="BM48" s="45">
        <v>0</v>
      </c>
      <c r="BN48" s="45">
        <v>0</v>
      </c>
      <c r="BO48" s="45">
        <f>AP48*AO48</f>
        <v>0</v>
      </c>
      <c r="BP48" s="86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219">
        <f>SUM(BR48:CF48)</f>
        <v>0</v>
      </c>
    </row>
    <row r="49" spans="1:85" x14ac:dyDescent="0.25">
      <c r="A49" s="30">
        <v>48</v>
      </c>
      <c r="B49" s="224">
        <v>45932</v>
      </c>
      <c r="C49" s="110" t="s">
        <v>419</v>
      </c>
      <c r="D49" s="110" t="s">
        <v>244</v>
      </c>
      <c r="E49" s="110" t="s">
        <v>74</v>
      </c>
      <c r="F49" s="110" t="s">
        <v>420</v>
      </c>
      <c r="G49" s="110" t="s">
        <v>421</v>
      </c>
      <c r="H49" s="59">
        <v>737</v>
      </c>
      <c r="I49" s="110" t="s">
        <v>185</v>
      </c>
      <c r="J49" s="366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57">
        <v>24370</v>
      </c>
      <c r="V49" s="223"/>
      <c r="W49" s="223"/>
      <c r="X49" s="223"/>
      <c r="Y49" s="223"/>
      <c r="Z49" s="223"/>
      <c r="AA49" s="223"/>
      <c r="AB49" s="41">
        <f>K49+L49+M49+N49+O49+P49+Q49+R49+T49</f>
        <v>0</v>
      </c>
      <c r="AC49" s="41">
        <f>AB49+AA49+Z49+Y49+X49+V49+U49+S49</f>
        <v>24370</v>
      </c>
      <c r="AD49" s="223"/>
      <c r="AE49" s="223"/>
      <c r="AF49" s="223"/>
      <c r="AG49" s="223"/>
      <c r="AH49" s="223"/>
      <c r="AI49" s="223"/>
      <c r="AJ49" s="43">
        <f>AD49+AE49</f>
        <v>0</v>
      </c>
      <c r="AK49" s="41">
        <f>AJ49*AN49</f>
        <v>0</v>
      </c>
      <c r="AL49" s="41">
        <f>AK49+AI49+AH49+AG49+AF49</f>
        <v>0</v>
      </c>
      <c r="AM49" s="41">
        <f>AL49+AC49</f>
        <v>24370</v>
      </c>
      <c r="AN49" s="117"/>
      <c r="AO49" s="223"/>
      <c r="AP49" s="223"/>
      <c r="AQ49" s="223"/>
      <c r="AR49" s="223"/>
      <c r="AS49" s="223"/>
      <c r="AT49" s="223"/>
      <c r="AU49" s="223"/>
      <c r="AV49" s="117"/>
      <c r="AW49" s="101"/>
      <c r="AX49" s="101"/>
      <c r="AY49" s="101"/>
      <c r="AZ49" s="101"/>
      <c r="BA49" s="101"/>
      <c r="BB49" s="43">
        <f>AO49+AP49</f>
        <v>0</v>
      </c>
      <c r="BC49" s="116">
        <f>(BB49+AJ49)*AN49+AQ49</f>
        <v>0</v>
      </c>
      <c r="BD49" s="46">
        <f>BC49+AB49</f>
        <v>0</v>
      </c>
      <c r="BE49" s="46">
        <f>(BC49+BA49+AY49+AT49)+(AI49+AH49+AC49)+AX49+AZ49+AS49+AR49+AG49+AF49</f>
        <v>24370</v>
      </c>
      <c r="BF49" s="50">
        <f>AV49+AN49</f>
        <v>0</v>
      </c>
      <c r="BG49" s="222"/>
      <c r="BH49" s="101"/>
      <c r="BI49" s="101"/>
      <c r="BJ49" s="101"/>
      <c r="BK49" s="101"/>
      <c r="BL49" s="101"/>
      <c r="BM49" s="101"/>
      <c r="BN49" s="101"/>
      <c r="BO49" s="45">
        <f>AP49*AO49</f>
        <v>0</v>
      </c>
      <c r="BP49" s="366"/>
      <c r="BQ49" s="223"/>
      <c r="BR49" s="223"/>
      <c r="BS49" s="223"/>
      <c r="BT49" s="223"/>
      <c r="BU49" s="223"/>
      <c r="BV49" s="223"/>
      <c r="BW49" s="223"/>
      <c r="BX49" s="223"/>
      <c r="BY49" s="223"/>
      <c r="BZ49" s="223"/>
      <c r="CA49" s="223"/>
      <c r="CB49" s="223"/>
      <c r="CC49" s="223"/>
      <c r="CD49" s="223"/>
      <c r="CE49" s="223"/>
      <c r="CF49" s="223"/>
      <c r="CG49" s="219">
        <f>SUM(BR49:CF49)</f>
        <v>0</v>
      </c>
    </row>
    <row r="50" spans="1:85" x14ac:dyDescent="0.25">
      <c r="A50" s="30">
        <v>49</v>
      </c>
      <c r="B50" s="112">
        <v>45934</v>
      </c>
      <c r="C50" s="110" t="s">
        <v>147</v>
      </c>
      <c r="D50" s="110" t="s">
        <v>5</v>
      </c>
      <c r="E50" s="110" t="s">
        <v>74</v>
      </c>
      <c r="F50" s="110" t="s">
        <v>90</v>
      </c>
      <c r="G50" s="110" t="s">
        <v>2</v>
      </c>
      <c r="H50" s="115">
        <v>548</v>
      </c>
      <c r="I50" s="110" t="s">
        <v>5</v>
      </c>
      <c r="J50" s="60"/>
      <c r="K50" s="45">
        <v>27000</v>
      </c>
      <c r="L50" s="45">
        <v>2350</v>
      </c>
      <c r="M50" s="45">
        <v>0</v>
      </c>
      <c r="N50" s="45">
        <v>8200</v>
      </c>
      <c r="O50" s="45">
        <f>2000+2970</f>
        <v>4970</v>
      </c>
      <c r="P50" s="45">
        <v>0</v>
      </c>
      <c r="Q50" s="45">
        <v>0</v>
      </c>
      <c r="R50" s="45">
        <v>0</v>
      </c>
      <c r="S50" s="45"/>
      <c r="T50" s="45">
        <v>0</v>
      </c>
      <c r="U50" s="45">
        <f>151056+63765</f>
        <v>214821</v>
      </c>
      <c r="V50" s="45"/>
      <c r="W50" s="45"/>
      <c r="X50" s="45"/>
      <c r="Y50" s="45"/>
      <c r="Z50" s="45">
        <f>6353.56+224.17+1999.95</f>
        <v>8577.68</v>
      </c>
      <c r="AA50" s="45"/>
      <c r="AB50" s="41">
        <f>K50+L50+M50+N50+O50+P50+Q50+R50+T50</f>
        <v>42520</v>
      </c>
      <c r="AC50" s="41">
        <f>AB50+AA50+Z50+Y50+X50+V50+U50</f>
        <v>265918.68</v>
      </c>
      <c r="AD50" s="45">
        <v>27</v>
      </c>
      <c r="AE50" s="45">
        <v>45</v>
      </c>
      <c r="AF50" s="45">
        <v>0</v>
      </c>
      <c r="AG50" s="45">
        <v>0</v>
      </c>
      <c r="AH50" s="45">
        <v>0</v>
      </c>
      <c r="AI50" s="45">
        <v>2340</v>
      </c>
      <c r="AJ50" s="43">
        <f>AD50+AE50</f>
        <v>72</v>
      </c>
      <c r="AK50" s="41">
        <f>AJ50*AN50</f>
        <v>25200</v>
      </c>
      <c r="AL50" s="41">
        <f>AK50+AI50+AH50+AG50+AF50</f>
        <v>27540</v>
      </c>
      <c r="AM50" s="41">
        <f>AL50+AC50</f>
        <v>293458.68</v>
      </c>
      <c r="AN50" s="49">
        <v>350</v>
      </c>
      <c r="AO50" s="45">
        <f>40+135+12</f>
        <v>187</v>
      </c>
      <c r="AP50" s="45">
        <v>24</v>
      </c>
      <c r="AQ50" s="45">
        <v>7150</v>
      </c>
      <c r="AR50" s="45"/>
      <c r="AS50" s="45"/>
      <c r="AT50" s="45"/>
      <c r="AU50" s="371"/>
      <c r="AV50" s="84"/>
      <c r="AW50" s="45"/>
      <c r="AX50" s="45">
        <f>AV50*AW50</f>
        <v>0</v>
      </c>
      <c r="AY50" s="45"/>
      <c r="AZ50" s="45"/>
      <c r="BA50" s="45">
        <v>20665.62</v>
      </c>
      <c r="BB50" s="12">
        <f>AO50+AP50</f>
        <v>211</v>
      </c>
      <c r="BC50" s="41">
        <f>(BB50+AJ50)*AN50+AQ50</f>
        <v>106200</v>
      </c>
      <c r="BD50" s="46">
        <f>BC50+AB50</f>
        <v>148720</v>
      </c>
      <c r="BE50" s="46">
        <f>(BC50+BA50+AY50+AT50)+(AI50+AH50+AC50)+AX50+AZ50+AS50+AR50+AG50+AF50</f>
        <v>395124.3</v>
      </c>
      <c r="BF50" s="50">
        <f>AV50+AN50</f>
        <v>350</v>
      </c>
      <c r="BG50" s="35"/>
      <c r="BH50" s="45">
        <v>0</v>
      </c>
      <c r="BI50" s="45">
        <v>0</v>
      </c>
      <c r="BJ50" s="45">
        <v>0</v>
      </c>
      <c r="BK50" s="45">
        <v>0</v>
      </c>
      <c r="BL50" s="45">
        <v>0</v>
      </c>
      <c r="BM50" s="45">
        <v>0</v>
      </c>
      <c r="BN50" s="45">
        <v>0</v>
      </c>
      <c r="BO50" s="45">
        <f>AP50*AO50</f>
        <v>4488</v>
      </c>
      <c r="BP50" s="86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219">
        <f>SUM(BR50:CF50)</f>
        <v>0</v>
      </c>
    </row>
    <row r="51" spans="1:85" s="35" customFormat="1" x14ac:dyDescent="0.25">
      <c r="A51" s="30">
        <v>50</v>
      </c>
      <c r="B51" s="232">
        <v>45948</v>
      </c>
      <c r="C51" s="28" t="s">
        <v>428</v>
      </c>
      <c r="D51" s="28" t="s">
        <v>235</v>
      </c>
      <c r="E51" s="28" t="s">
        <v>74</v>
      </c>
      <c r="F51" s="28" t="s">
        <v>90</v>
      </c>
      <c r="G51" s="28" t="s">
        <v>10</v>
      </c>
      <c r="H51" s="109">
        <v>733</v>
      </c>
      <c r="I51" s="28" t="s">
        <v>5</v>
      </c>
      <c r="J51" s="212"/>
      <c r="K51" s="233">
        <f>18000-2810</f>
        <v>15190</v>
      </c>
      <c r="L51" s="234">
        <v>0</v>
      </c>
      <c r="M51" s="234">
        <v>0</v>
      </c>
      <c r="N51" s="21">
        <f>2500+3500</f>
        <v>6000</v>
      </c>
      <c r="O51" s="234">
        <v>2090</v>
      </c>
      <c r="P51" s="234">
        <v>0</v>
      </c>
      <c r="Q51" s="234">
        <v>0</v>
      </c>
      <c r="R51" s="234">
        <v>0</v>
      </c>
      <c r="S51" s="234">
        <v>0</v>
      </c>
      <c r="T51" s="234">
        <v>0</v>
      </c>
      <c r="U51" s="234">
        <v>0</v>
      </c>
      <c r="V51" s="234">
        <v>0</v>
      </c>
      <c r="W51" s="234">
        <v>0</v>
      </c>
      <c r="X51" s="234">
        <v>0</v>
      </c>
      <c r="Y51" s="234">
        <v>0</v>
      </c>
      <c r="Z51" s="234">
        <v>0</v>
      </c>
      <c r="AA51" s="234">
        <v>0</v>
      </c>
      <c r="AB51" s="11">
        <f>K51+L51+M51+N51+O51+P51+Q51+R51+T51</f>
        <v>23280</v>
      </c>
      <c r="AC51" s="208">
        <f>AB51+AA51+Z51+Y51+X51+V51+U51+S51</f>
        <v>23280</v>
      </c>
      <c r="AD51" s="234">
        <v>20</v>
      </c>
      <c r="AE51" s="234">
        <v>30</v>
      </c>
      <c r="AF51" s="234">
        <v>0</v>
      </c>
      <c r="AG51" s="234">
        <v>0</v>
      </c>
      <c r="AH51" s="234">
        <v>0</v>
      </c>
      <c r="AI51" s="234"/>
      <c r="AJ51" s="12">
        <f>AD51+AE51</f>
        <v>50</v>
      </c>
      <c r="AK51" s="11">
        <f>AJ51*AN51</f>
        <v>23000</v>
      </c>
      <c r="AL51" s="11">
        <f>AK51+AI51+AH51+AG51+AF51</f>
        <v>23000</v>
      </c>
      <c r="AM51" s="208">
        <f>AL51+AC51</f>
        <v>46280</v>
      </c>
      <c r="AN51" s="209">
        <v>460</v>
      </c>
      <c r="AO51" s="234">
        <v>120</v>
      </c>
      <c r="AP51" s="234">
        <v>0</v>
      </c>
      <c r="AQ51" s="234">
        <v>5250</v>
      </c>
      <c r="AR51" s="234">
        <v>0</v>
      </c>
      <c r="AS51" s="234">
        <v>0</v>
      </c>
      <c r="AT51" s="234">
        <v>0</v>
      </c>
      <c r="AU51" s="234">
        <v>0</v>
      </c>
      <c r="AV51" s="209">
        <v>0</v>
      </c>
      <c r="AW51" s="183"/>
      <c r="AX51" s="183"/>
      <c r="AY51" s="183"/>
      <c r="AZ51" s="183"/>
      <c r="BA51" s="183"/>
      <c r="BB51" s="12">
        <f>AO51+AP51</f>
        <v>120</v>
      </c>
      <c r="BC51" s="78">
        <f>(BB51+AJ51)*AN51+AQ51</f>
        <v>83450</v>
      </c>
      <c r="BD51" s="210">
        <f>BC51+AB51</f>
        <v>106730</v>
      </c>
      <c r="BE51" s="210">
        <f>(BC51+BA51+AY51+AT51)+(AI51+AH51+AC51)+AX51+AZ51+AS51+AR51+AG51+AF51</f>
        <v>106730</v>
      </c>
      <c r="BF51" s="50">
        <f>AV51+AN51</f>
        <v>460</v>
      </c>
      <c r="BG51" s="182"/>
      <c r="BH51" s="183"/>
      <c r="BI51" s="183"/>
      <c r="BJ51" s="183"/>
      <c r="BK51" s="183"/>
      <c r="BL51" s="183"/>
      <c r="BM51" s="183"/>
      <c r="BN51" s="183"/>
      <c r="BO51" s="10">
        <f>AP51*AO51</f>
        <v>0</v>
      </c>
      <c r="BP51" s="21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2"/>
      <c r="CD51" s="132"/>
      <c r="CE51" s="132"/>
      <c r="CF51" s="132"/>
      <c r="CG51" s="123">
        <f>SUM(BR51:CF51)</f>
        <v>0</v>
      </c>
    </row>
    <row r="52" spans="1:85" s="35" customFormat="1" x14ac:dyDescent="0.25">
      <c r="A52" s="30">
        <v>51</v>
      </c>
      <c r="B52" s="237">
        <v>45950</v>
      </c>
      <c r="C52" s="39" t="s">
        <v>432</v>
      </c>
      <c r="D52" s="39" t="s">
        <v>93</v>
      </c>
      <c r="E52" s="39" t="s">
        <v>74</v>
      </c>
      <c r="F52" s="39" t="s">
        <v>94</v>
      </c>
      <c r="G52" s="39" t="s">
        <v>10</v>
      </c>
      <c r="H52" s="39">
        <v>748</v>
      </c>
      <c r="I52" s="39" t="s">
        <v>5</v>
      </c>
      <c r="J52" s="86"/>
      <c r="K52" s="40">
        <v>0</v>
      </c>
      <c r="L52" s="40">
        <v>0</v>
      </c>
      <c r="M52" s="40">
        <v>0</v>
      </c>
      <c r="N52" s="40">
        <v>2500</v>
      </c>
      <c r="O52" s="40">
        <v>1000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1">
        <f>K52+L52+M52+N52+O52+P52+Q52+R52+T52</f>
        <v>3500</v>
      </c>
      <c r="AC52" s="41">
        <f>AB52+AA52+Z52+Y52+X52+V52+U52</f>
        <v>3500</v>
      </c>
      <c r="AD52" s="39">
        <v>17</v>
      </c>
      <c r="AE52" s="39">
        <v>0</v>
      </c>
      <c r="AF52" s="39">
        <v>0</v>
      </c>
      <c r="AG52" s="39">
        <v>0</v>
      </c>
      <c r="AH52" s="39">
        <v>0</v>
      </c>
      <c r="AI52" s="39">
        <v>0</v>
      </c>
      <c r="AJ52" s="43">
        <f>AD52+AE52</f>
        <v>17</v>
      </c>
      <c r="AK52" s="41">
        <f>AJ52*AN52</f>
        <v>8789</v>
      </c>
      <c r="AL52" s="41">
        <f>AK52+AI52+AH52+AG52+AF52</f>
        <v>8789</v>
      </c>
      <c r="AM52" s="41">
        <f>AL52+AC52</f>
        <v>12289</v>
      </c>
      <c r="AN52" s="49">
        <v>517</v>
      </c>
      <c r="AO52" s="39">
        <v>82</v>
      </c>
      <c r="AP52" s="39">
        <v>0</v>
      </c>
      <c r="AQ52" s="39">
        <v>0</v>
      </c>
      <c r="AR52" s="39">
        <v>0</v>
      </c>
      <c r="AS52" s="39">
        <v>0</v>
      </c>
      <c r="AT52" s="39">
        <v>0</v>
      </c>
      <c r="AU52" s="39">
        <v>0</v>
      </c>
      <c r="AV52" s="44">
        <v>0</v>
      </c>
      <c r="AW52" s="39">
        <v>0</v>
      </c>
      <c r="AX52" s="39">
        <v>0</v>
      </c>
      <c r="AY52" s="39">
        <v>0</v>
      </c>
      <c r="AZ52" s="39">
        <v>0</v>
      </c>
      <c r="BA52" s="39">
        <v>0</v>
      </c>
      <c r="BB52" s="43">
        <f>AO52+AP52</f>
        <v>82</v>
      </c>
      <c r="BC52" s="41">
        <f>(BB52+AJ52)*AN52+AQ52</f>
        <v>51183</v>
      </c>
      <c r="BD52" s="46">
        <f>BC52+AB52</f>
        <v>54683</v>
      </c>
      <c r="BE52" s="46">
        <f>(BC52+BA52+AY52+AT52)+(AI52+AH52+AC52)+AX52+AZ52+AS52+AR52+AG52+AF52</f>
        <v>54683</v>
      </c>
      <c r="BF52" s="50">
        <f>AV52+AN52</f>
        <v>517</v>
      </c>
      <c r="BH52" s="39"/>
      <c r="BI52" s="39"/>
      <c r="BJ52" s="39"/>
      <c r="BK52" s="39"/>
      <c r="BL52" s="39"/>
      <c r="BM52" s="39"/>
      <c r="BN52" s="39"/>
      <c r="BO52" s="45">
        <f>AP52*AO52</f>
        <v>0</v>
      </c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219">
        <f>SUM(BR52:CF52)</f>
        <v>0</v>
      </c>
    </row>
    <row r="53" spans="1:85" s="35" customFormat="1" x14ac:dyDescent="0.25">
      <c r="A53" s="30">
        <v>52</v>
      </c>
      <c r="B53" s="112">
        <v>45955</v>
      </c>
      <c r="C53" s="110" t="s">
        <v>423</v>
      </c>
      <c r="D53" s="110" t="s">
        <v>5</v>
      </c>
      <c r="E53" s="110" t="s">
        <v>11</v>
      </c>
      <c r="F53" s="110" t="s">
        <v>113</v>
      </c>
      <c r="G53" s="110" t="s">
        <v>10</v>
      </c>
      <c r="H53" s="59">
        <v>745</v>
      </c>
      <c r="I53" s="110" t="s">
        <v>5</v>
      </c>
      <c r="J53" s="86"/>
      <c r="K53" s="40">
        <v>12000</v>
      </c>
      <c r="L53" s="40">
        <v>1200</v>
      </c>
      <c r="M53" s="40">
        <v>2500</v>
      </c>
      <c r="N53" s="40">
        <v>8300</v>
      </c>
      <c r="O53" s="40">
        <v>1430</v>
      </c>
      <c r="P53" s="40"/>
      <c r="Q53" s="40"/>
      <c r="R53" s="40"/>
      <c r="S53" s="40">
        <v>24800</v>
      </c>
      <c r="T53" s="40"/>
      <c r="U53" s="40"/>
      <c r="V53" s="40"/>
      <c r="W53" s="40"/>
      <c r="X53" s="40"/>
      <c r="Y53" s="40">
        <f>6*250</f>
        <v>1500</v>
      </c>
      <c r="Z53" s="40"/>
      <c r="AA53" s="40">
        <v>5000</v>
      </c>
      <c r="AB53" s="41">
        <f>K53+L53+M53+N53+O53+P53+Q53+R53+T53+S53</f>
        <v>50230</v>
      </c>
      <c r="AC53" s="41">
        <f>AB53+AA53+Z53+Y53+X53+V53+U53</f>
        <v>56730</v>
      </c>
      <c r="AD53" s="40">
        <v>30</v>
      </c>
      <c r="AE53" s="40">
        <v>45</v>
      </c>
      <c r="AF53" s="40"/>
      <c r="AG53" s="40"/>
      <c r="AH53" s="40"/>
      <c r="AI53" s="40"/>
      <c r="AJ53" s="201">
        <f>AD53+AE53</f>
        <v>75</v>
      </c>
      <c r="AK53" s="41">
        <f>AJ53*AN53</f>
        <v>12000</v>
      </c>
      <c r="AL53" s="41">
        <f>AK53+AI53+AH53+AG53+AF53</f>
        <v>12000</v>
      </c>
      <c r="AM53" s="41">
        <f>AL53+AC53</f>
        <v>68730</v>
      </c>
      <c r="AN53" s="44">
        <v>160</v>
      </c>
      <c r="AO53" s="40">
        <f>45+189</f>
        <v>234</v>
      </c>
      <c r="AP53" s="40">
        <v>0</v>
      </c>
      <c r="AQ53" s="40">
        <v>3550</v>
      </c>
      <c r="AR53" s="40">
        <v>0</v>
      </c>
      <c r="AS53" s="40"/>
      <c r="AT53" s="40"/>
      <c r="AU53" s="45">
        <f>(234/2)*10+(30/2)*10+117*9</f>
        <v>2373</v>
      </c>
      <c r="AV53" s="44">
        <v>3</v>
      </c>
      <c r="AW53" s="39">
        <v>309</v>
      </c>
      <c r="AX53" s="183">
        <f>AV53*AW53+3*283.5</f>
        <v>1777.5</v>
      </c>
      <c r="AY53" s="39"/>
      <c r="AZ53" s="39"/>
      <c r="BA53" s="39"/>
      <c r="BB53" s="12">
        <f>AO53+AP53</f>
        <v>234</v>
      </c>
      <c r="BC53" s="41">
        <f>(BB53+AJ53)*AN53+AQ53</f>
        <v>52990</v>
      </c>
      <c r="BD53" s="46">
        <f>BC53+AB53</f>
        <v>103220</v>
      </c>
      <c r="BE53" s="46">
        <f>(BC53+BA53+AY53+AT53)+(AI53+AH53+AC53)+AX53+AZ53+AS53+AR53+AG53+AF53+AU53</f>
        <v>113870.5</v>
      </c>
      <c r="BF53" s="50"/>
      <c r="BH53" s="45">
        <v>0</v>
      </c>
      <c r="BI53" s="45">
        <v>0</v>
      </c>
      <c r="BJ53" s="45">
        <v>0</v>
      </c>
      <c r="BK53" s="45">
        <v>0</v>
      </c>
      <c r="BL53" s="45">
        <v>0</v>
      </c>
      <c r="BM53" s="45">
        <v>0</v>
      </c>
      <c r="BN53" s="45">
        <v>0</v>
      </c>
      <c r="BO53" s="45">
        <f>AP53*AO53</f>
        <v>0</v>
      </c>
      <c r="BP53" s="86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219">
        <f>SUM(BR53:CF53)</f>
        <v>0</v>
      </c>
    </row>
    <row r="54" spans="1:85" x14ac:dyDescent="0.25">
      <c r="A54" s="30">
        <v>53</v>
      </c>
      <c r="B54" s="360">
        <v>45962</v>
      </c>
      <c r="C54" s="361" t="s">
        <v>161</v>
      </c>
      <c r="D54" s="361" t="s">
        <v>131</v>
      </c>
      <c r="E54" s="361" t="s">
        <v>74</v>
      </c>
      <c r="F54" s="361" t="s">
        <v>116</v>
      </c>
      <c r="G54" s="364" t="s">
        <v>12</v>
      </c>
      <c r="H54" s="364">
        <v>727</v>
      </c>
      <c r="I54" s="364" t="s">
        <v>5</v>
      </c>
      <c r="J54" s="366"/>
      <c r="K54" s="367">
        <v>45000</v>
      </c>
      <c r="L54" s="367"/>
      <c r="M54" s="367"/>
      <c r="N54" s="367"/>
      <c r="O54" s="367"/>
      <c r="P54" s="367"/>
      <c r="Q54" s="367"/>
      <c r="R54" s="367"/>
      <c r="S54" s="367"/>
      <c r="T54" s="367"/>
      <c r="U54" s="367"/>
      <c r="V54" s="367"/>
      <c r="W54" s="367"/>
      <c r="X54" s="367"/>
      <c r="Y54" s="367"/>
      <c r="Z54" s="367"/>
      <c r="AA54" s="367"/>
      <c r="AB54" s="41">
        <f>K54+L54+M54+N54+O54+P54+Q54+R54+T54</f>
        <v>45000</v>
      </c>
      <c r="AC54" s="369">
        <f>AB54+AA54+Z54+Y54+X54+V54+U54+S54</f>
        <v>45000</v>
      </c>
      <c r="AD54" s="367"/>
      <c r="AE54" s="367"/>
      <c r="AF54" s="367"/>
      <c r="AG54" s="367"/>
      <c r="AH54" s="367"/>
      <c r="AI54" s="367"/>
      <c r="AJ54" s="201">
        <f>AD54+AE54</f>
        <v>0</v>
      </c>
      <c r="AK54" s="369">
        <f>AJ54*AN54</f>
        <v>0</v>
      </c>
      <c r="AL54" s="369">
        <f>AK54+AI54+AH54+AG54+AF54</f>
        <v>0</v>
      </c>
      <c r="AM54" s="369">
        <f>AL54+AC54</f>
        <v>45000</v>
      </c>
      <c r="AN54" s="370"/>
      <c r="AO54" s="367"/>
      <c r="AP54" s="367"/>
      <c r="AQ54" s="367"/>
      <c r="AR54" s="367"/>
      <c r="AS54" s="367"/>
      <c r="AT54" s="367"/>
      <c r="AU54" s="367"/>
      <c r="AV54" s="370"/>
      <c r="AW54" s="372"/>
      <c r="AX54" s="372"/>
      <c r="AY54" s="372"/>
      <c r="AZ54" s="372"/>
      <c r="BA54" s="372"/>
      <c r="BB54" s="12">
        <f>AO54+AP54</f>
        <v>0</v>
      </c>
      <c r="BC54" s="369">
        <f>(BB54+AJ54)*AN54+AQ54</f>
        <v>0</v>
      </c>
      <c r="BD54" s="375">
        <f>BC54+AB54</f>
        <v>45000</v>
      </c>
      <c r="BE54" s="375">
        <f>(BC54+BA54+AY54+AT54)+(AI54+AH54+AC54)+AX54+AZ54+AS54+AR54+AG54+AF54</f>
        <v>45000</v>
      </c>
      <c r="BF54" s="50">
        <f>AV54+AN54</f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f>AP54*AO54</f>
        <v>0</v>
      </c>
      <c r="BP54" s="212"/>
      <c r="BQ54" s="132"/>
      <c r="BR54" s="132"/>
      <c r="BS54" s="132"/>
      <c r="BT54" s="132"/>
      <c r="BU54" s="132"/>
      <c r="BV54" s="132"/>
      <c r="BW54" s="132"/>
      <c r="BX54" s="132"/>
      <c r="BY54" s="132"/>
      <c r="BZ54" s="132"/>
      <c r="CA54" s="132"/>
      <c r="CB54" s="132"/>
      <c r="CC54" s="132"/>
      <c r="CD54" s="132"/>
      <c r="CE54" s="132"/>
      <c r="CF54" s="132"/>
      <c r="CG54" s="123">
        <f>SUM(BR54:CF54)</f>
        <v>0</v>
      </c>
    </row>
    <row r="55" spans="1:85" s="35" customFormat="1" x14ac:dyDescent="0.25">
      <c r="A55" s="30">
        <v>54</v>
      </c>
      <c r="B55" s="237">
        <v>45964</v>
      </c>
      <c r="C55" s="39" t="s">
        <v>433</v>
      </c>
      <c r="D55" s="39" t="s">
        <v>434</v>
      </c>
      <c r="E55" s="39" t="s">
        <v>74</v>
      </c>
      <c r="F55" s="39" t="s">
        <v>90</v>
      </c>
      <c r="G55" s="39" t="s">
        <v>10</v>
      </c>
      <c r="H55" s="39">
        <v>750</v>
      </c>
      <c r="I55" s="39" t="s">
        <v>5</v>
      </c>
      <c r="J55" s="39"/>
      <c r="K55" s="242">
        <f>6000+3500</f>
        <v>9500</v>
      </c>
      <c r="L55" s="39">
        <v>600</v>
      </c>
      <c r="M55" s="39">
        <v>0</v>
      </c>
      <c r="N55" s="39">
        <f>1800+3500+2000</f>
        <v>7300</v>
      </c>
      <c r="O55" s="39">
        <v>2090</v>
      </c>
      <c r="P55" s="39"/>
      <c r="Q55" s="39"/>
      <c r="R55" s="39"/>
      <c r="S55" s="39"/>
      <c r="T55" s="39"/>
      <c r="U55" s="39"/>
      <c r="V55" s="39"/>
      <c r="W55" s="39"/>
      <c r="X55" s="39">
        <f>4935</f>
        <v>4935</v>
      </c>
      <c r="Y55" s="39"/>
      <c r="Z55" s="39">
        <v>1694.78</v>
      </c>
      <c r="AA55" s="39">
        <v>875</v>
      </c>
      <c r="AB55" s="41">
        <f>K55+L55+M55+N55+O55+P55+Q55+R55+T55</f>
        <v>19490</v>
      </c>
      <c r="AC55" s="41">
        <f>AB55+AA55+Z55+Y55+X55+V55+U55</f>
        <v>26994.78</v>
      </c>
      <c r="AD55" s="39">
        <v>27</v>
      </c>
      <c r="AE55" s="39">
        <v>0</v>
      </c>
      <c r="AF55" s="39">
        <v>0</v>
      </c>
      <c r="AG55" s="39">
        <v>0</v>
      </c>
      <c r="AH55" s="39">
        <v>0</v>
      </c>
      <c r="AI55" s="39">
        <v>560</v>
      </c>
      <c r="AJ55" s="43">
        <f>AD55+AE55</f>
        <v>27</v>
      </c>
      <c r="AK55" s="41">
        <f>AJ55*AN55</f>
        <v>7560</v>
      </c>
      <c r="AL55" s="41">
        <f>AK55+AI55+AH55+AG55+AF55</f>
        <v>8120</v>
      </c>
      <c r="AM55" s="41">
        <f>AL55+AC55</f>
        <v>35114.78</v>
      </c>
      <c r="AN55" s="49">
        <v>280</v>
      </c>
      <c r="AO55" s="39">
        <v>115</v>
      </c>
      <c r="AP55" s="39">
        <v>0</v>
      </c>
      <c r="AQ55" s="39">
        <v>6250</v>
      </c>
      <c r="AR55" s="39">
        <v>0</v>
      </c>
      <c r="AS55" s="39">
        <v>0</v>
      </c>
      <c r="AT55" s="39">
        <v>0</v>
      </c>
      <c r="AU55" s="39">
        <v>0</v>
      </c>
      <c r="AV55" s="44"/>
      <c r="AW55" s="39"/>
      <c r="AX55" s="39"/>
      <c r="AY55" s="39"/>
      <c r="AZ55" s="39"/>
      <c r="BA55" s="39">
        <f>50010.87-46010</f>
        <v>4000.8700000000026</v>
      </c>
      <c r="BB55" s="43">
        <f>AO55+AP55</f>
        <v>115</v>
      </c>
      <c r="BC55" s="41">
        <f>(BB55+AJ55)*AN55+AQ55</f>
        <v>46010</v>
      </c>
      <c r="BD55" s="46">
        <f>BC55+AB55</f>
        <v>65500</v>
      </c>
      <c r="BE55" s="46">
        <f>(BC55+BA55+AY55+AT55)+(AI55+AH55+AC55)+AX55+AZ55+AS55+AR55+AG55+AF55</f>
        <v>77565.649999999994</v>
      </c>
      <c r="BF55" s="50">
        <f>AV55+AN55</f>
        <v>280</v>
      </c>
      <c r="BH55" s="39"/>
      <c r="BI55" s="39"/>
      <c r="BJ55" s="39"/>
      <c r="BK55" s="39"/>
      <c r="BL55" s="39"/>
      <c r="BM55" s="39"/>
      <c r="BN55" s="39"/>
      <c r="BO55" s="45">
        <f>AP55*AO55</f>
        <v>0</v>
      </c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219">
        <f>SUM(BR55:CF55)</f>
        <v>0</v>
      </c>
    </row>
    <row r="56" spans="1:85" s="35" customFormat="1" x14ac:dyDescent="0.25">
      <c r="A56" s="30">
        <v>55</v>
      </c>
      <c r="B56" s="111">
        <v>45967</v>
      </c>
      <c r="C56" s="49" t="s">
        <v>148</v>
      </c>
      <c r="D56" s="49" t="s">
        <v>149</v>
      </c>
      <c r="E56" s="49" t="s">
        <v>74</v>
      </c>
      <c r="F56" s="49" t="s">
        <v>90</v>
      </c>
      <c r="G56" s="49" t="s">
        <v>10</v>
      </c>
      <c r="H56" s="59">
        <v>685</v>
      </c>
      <c r="I56" s="49" t="s">
        <v>5</v>
      </c>
      <c r="J56" s="39"/>
      <c r="K56" s="40">
        <f>8000+2500</f>
        <v>10500</v>
      </c>
      <c r="L56" s="40">
        <v>1000</v>
      </c>
      <c r="M56" s="40"/>
      <c r="N56" s="40"/>
      <c r="O56" s="40">
        <v>3550</v>
      </c>
      <c r="P56" s="40"/>
      <c r="Q56" s="40"/>
      <c r="R56" s="40"/>
      <c r="S56" s="40"/>
      <c r="T56" s="40">
        <v>500</v>
      </c>
      <c r="U56" s="40"/>
      <c r="V56" s="40"/>
      <c r="W56" s="40"/>
      <c r="X56" s="40"/>
      <c r="Y56" s="40"/>
      <c r="Z56" s="40"/>
      <c r="AA56" s="40"/>
      <c r="AB56" s="41">
        <f>K56+L56+M56+N56+O56+P56+Q56+R56+T56</f>
        <v>15550</v>
      </c>
      <c r="AC56" s="41">
        <f>AB56+AA56+Z56+Y56+X56+V56+U56</f>
        <v>15550</v>
      </c>
      <c r="AD56" s="40">
        <v>25</v>
      </c>
      <c r="AE56" s="40">
        <v>0</v>
      </c>
      <c r="AF56" s="40">
        <v>0</v>
      </c>
      <c r="AG56" s="40"/>
      <c r="AH56" s="40"/>
      <c r="AI56" s="40">
        <v>2800</v>
      </c>
      <c r="AJ56" s="43">
        <f>AD56+AE56</f>
        <v>25</v>
      </c>
      <c r="AK56" s="41">
        <f>AJ56*AN56</f>
        <v>7500</v>
      </c>
      <c r="AL56" s="41">
        <f>AK56+AI56+AH56+AG56+AF56</f>
        <v>10300</v>
      </c>
      <c r="AM56" s="41">
        <f>AL56+AC56</f>
        <v>25850</v>
      </c>
      <c r="AN56" s="44">
        <v>300</v>
      </c>
      <c r="AO56" s="40">
        <f>22+39+99</f>
        <v>160</v>
      </c>
      <c r="AP56" s="40"/>
      <c r="AQ56" s="40">
        <v>8200</v>
      </c>
      <c r="AR56" s="40"/>
      <c r="AS56" s="40"/>
      <c r="AT56" s="40"/>
      <c r="AU56" s="40"/>
      <c r="AV56" s="44"/>
      <c r="AW56" s="40"/>
      <c r="AX56" s="40">
        <f>AV56*AW56</f>
        <v>0</v>
      </c>
      <c r="AY56" s="40"/>
      <c r="AZ56" s="40"/>
      <c r="BA56" s="40">
        <v>10786.21</v>
      </c>
      <c r="BB56" s="12">
        <f>AO56+AP56</f>
        <v>160</v>
      </c>
      <c r="BC56" s="88">
        <f>(BB56+AJ56)*AN56+AQ56</f>
        <v>63700</v>
      </c>
      <c r="BD56" s="46">
        <f>BC56+AB56</f>
        <v>79250</v>
      </c>
      <c r="BE56" s="46">
        <f>(BC56+BA56+AY56+AT56)+(AI56+AH56+AC56)+AX56+AZ56+AS56+AR56+AG56+AF56</f>
        <v>92836.209999999992</v>
      </c>
      <c r="BF56" s="50">
        <f>AV56+AN56</f>
        <v>300</v>
      </c>
      <c r="BH56" s="45">
        <v>0</v>
      </c>
      <c r="BI56" s="45">
        <v>0</v>
      </c>
      <c r="BJ56" s="45">
        <v>0</v>
      </c>
      <c r="BK56" s="45">
        <v>0</v>
      </c>
      <c r="BL56" s="45">
        <v>0</v>
      </c>
      <c r="BM56" s="45">
        <v>0</v>
      </c>
      <c r="BN56" s="45" t="e">
        <f>#REF!*10%</f>
        <v>#REF!</v>
      </c>
      <c r="BO56" s="45">
        <f>AP56*AO56</f>
        <v>0</v>
      </c>
      <c r="BP56" s="86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219">
        <f>SUM(BR56:CF56)</f>
        <v>0</v>
      </c>
    </row>
    <row r="57" spans="1:85" s="35" customFormat="1" x14ac:dyDescent="0.25">
      <c r="A57" s="30">
        <v>56</v>
      </c>
      <c r="B57" s="232">
        <v>45969</v>
      </c>
      <c r="C57" s="183" t="s">
        <v>449</v>
      </c>
      <c r="D57" s="183" t="s">
        <v>8</v>
      </c>
      <c r="E57" s="183" t="s">
        <v>11</v>
      </c>
      <c r="F57" s="183" t="s">
        <v>17</v>
      </c>
      <c r="G57" s="183" t="s">
        <v>86</v>
      </c>
      <c r="H57" s="183">
        <v>763</v>
      </c>
      <c r="I57" s="183" t="s">
        <v>448</v>
      </c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1">
        <f>K57+L57+M57+N57+O57+P57+Q57+R57+T57</f>
        <v>0</v>
      </c>
      <c r="AC57" s="208">
        <f>AB57+AA57+Z57+Y57+X57+V57+U57</f>
        <v>0</v>
      </c>
      <c r="AD57" s="183">
        <v>12</v>
      </c>
      <c r="AE57" s="183">
        <v>45</v>
      </c>
      <c r="AF57" s="183"/>
      <c r="AG57" s="183">
        <v>750</v>
      </c>
      <c r="AH57" s="183"/>
      <c r="AI57" s="183"/>
      <c r="AJ57" s="201">
        <f>AD57+AE57</f>
        <v>57</v>
      </c>
      <c r="AK57" s="11">
        <f>AJ57*AN57</f>
        <v>2850</v>
      </c>
      <c r="AL57" s="11">
        <f>AK57+AI57+AH57+AG57+AF57</f>
        <v>3600</v>
      </c>
      <c r="AM57" s="208">
        <f>AL57+AC57</f>
        <v>3600</v>
      </c>
      <c r="AN57" s="211">
        <v>50</v>
      </c>
      <c r="AO57" s="183"/>
      <c r="AP57" s="183"/>
      <c r="AQ57" s="183"/>
      <c r="AR57" s="183"/>
      <c r="AS57" s="183"/>
      <c r="AT57" s="183"/>
      <c r="AU57" s="183"/>
      <c r="AV57" s="209"/>
      <c r="AW57" s="183"/>
      <c r="AX57" s="181">
        <f>AV57*AW57</f>
        <v>0</v>
      </c>
      <c r="AY57" s="183"/>
      <c r="AZ57" s="183"/>
      <c r="BA57" s="183"/>
      <c r="BB57" s="12">
        <f>AO57+AP57</f>
        <v>0</v>
      </c>
      <c r="BC57" s="208">
        <f>(BB57+AJ57)*AN57+AQ57</f>
        <v>2850</v>
      </c>
      <c r="BD57" s="14">
        <f>BC57+AB57</f>
        <v>2850</v>
      </c>
      <c r="BE57" s="202">
        <f>(BC57+BA57+AY57+AT57)+(AI57+AH57+AC57)+AX57+AZ57+AS57+AR57+AG57+AF57</f>
        <v>3600</v>
      </c>
      <c r="BF57" s="50">
        <f>AV57+AN57</f>
        <v>50</v>
      </c>
      <c r="BG57" s="182"/>
      <c r="BH57" s="183"/>
      <c r="BI57" s="183"/>
      <c r="BJ57" s="183"/>
      <c r="BK57" s="183"/>
      <c r="BL57" s="183"/>
      <c r="BM57" s="183"/>
      <c r="BN57" s="183"/>
      <c r="BO57" s="10">
        <f>AP57*AO57</f>
        <v>0</v>
      </c>
      <c r="BP57" s="182"/>
      <c r="BQ57" s="132"/>
      <c r="BR57" s="132"/>
      <c r="BS57" s="132"/>
      <c r="BT57" s="132"/>
      <c r="BU57" s="132"/>
      <c r="BV57" s="132"/>
      <c r="BW57" s="132"/>
      <c r="BX57" s="132"/>
      <c r="BY57" s="132"/>
      <c r="BZ57" s="132"/>
      <c r="CA57" s="132"/>
      <c r="CB57" s="132"/>
      <c r="CC57" s="132"/>
      <c r="CD57" s="132"/>
      <c r="CE57" s="132"/>
      <c r="CF57" s="132"/>
      <c r="CG57" s="123">
        <f>SUM(BR57:CF57)</f>
        <v>0</v>
      </c>
    </row>
    <row r="58" spans="1:85" s="35" customFormat="1" ht="12.75" customHeight="1" x14ac:dyDescent="0.25">
      <c r="A58" s="30">
        <v>57</v>
      </c>
      <c r="B58" s="232">
        <v>45969</v>
      </c>
      <c r="C58" s="183" t="s">
        <v>454</v>
      </c>
      <c r="D58" s="183" t="s">
        <v>453</v>
      </c>
      <c r="E58" s="183" t="s">
        <v>11</v>
      </c>
      <c r="F58" s="183" t="s">
        <v>17</v>
      </c>
      <c r="G58" s="183" t="s">
        <v>86</v>
      </c>
      <c r="H58" s="183">
        <v>764</v>
      </c>
      <c r="I58" s="183" t="s">
        <v>451</v>
      </c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1">
        <f>K58+L58+M58+N58+O58+P58+Q58+R58+T58</f>
        <v>0</v>
      </c>
      <c r="AC58" s="208">
        <f>AB58+AA58+Z58+Y58+X58+V58+U58</f>
        <v>0</v>
      </c>
      <c r="AD58" s="183"/>
      <c r="AE58" s="183">
        <v>40</v>
      </c>
      <c r="AF58" s="183"/>
      <c r="AG58" s="183">
        <v>750</v>
      </c>
      <c r="AH58" s="183"/>
      <c r="AI58" s="183"/>
      <c r="AJ58" s="201">
        <f>AD58+AE58</f>
        <v>40</v>
      </c>
      <c r="AK58" s="11">
        <f>AJ58*AN58</f>
        <v>3680</v>
      </c>
      <c r="AL58" s="11">
        <f>AK58+AI58+AH58+AG58+AF58</f>
        <v>4430</v>
      </c>
      <c r="AM58" s="208">
        <f>AL58+AC58</f>
        <v>4430</v>
      </c>
      <c r="AN58" s="211">
        <v>92</v>
      </c>
      <c r="AO58" s="183"/>
      <c r="AP58" s="183"/>
      <c r="AQ58" s="183"/>
      <c r="AR58" s="183"/>
      <c r="AS58" s="183"/>
      <c r="AT58" s="183"/>
      <c r="AU58" s="183"/>
      <c r="AV58" s="209"/>
      <c r="AW58" s="183"/>
      <c r="AX58" s="181">
        <f>AV58*AW58</f>
        <v>0</v>
      </c>
      <c r="AY58" s="183"/>
      <c r="AZ58" s="183"/>
      <c r="BA58" s="183"/>
      <c r="BB58" s="12">
        <f>AO58+AP58</f>
        <v>0</v>
      </c>
      <c r="BC58" s="208">
        <f>(BB58+AJ58)*AN58+AQ58</f>
        <v>3680</v>
      </c>
      <c r="BD58" s="14">
        <f>BC58+AB58</f>
        <v>3680</v>
      </c>
      <c r="BE58" s="202">
        <f>(BC58+BA58+AY58+AT58)+(AI58+AH58+AC58)+AX58+AZ58+AS58+AR58+AG58+AF58</f>
        <v>4430</v>
      </c>
      <c r="BF58" s="183">
        <f>AV58+AN58</f>
        <v>92</v>
      </c>
      <c r="BG58" s="182"/>
      <c r="BH58" s="183"/>
      <c r="BI58" s="183"/>
      <c r="BJ58" s="183"/>
      <c r="BK58" s="183"/>
      <c r="BL58" s="183"/>
      <c r="BM58" s="183"/>
      <c r="BN58" s="183"/>
      <c r="BO58" s="10">
        <f>AP58*AO58</f>
        <v>0</v>
      </c>
      <c r="BP58" s="182"/>
      <c r="BQ58" s="132"/>
      <c r="BR58" s="132"/>
      <c r="BS58" s="132"/>
      <c r="BT58" s="132"/>
      <c r="BU58" s="132"/>
      <c r="BV58" s="132"/>
      <c r="BW58" s="132"/>
      <c r="BX58" s="132"/>
      <c r="BY58" s="132"/>
      <c r="BZ58" s="132"/>
      <c r="CA58" s="132"/>
      <c r="CB58" s="132"/>
      <c r="CC58" s="132"/>
      <c r="CD58" s="132"/>
      <c r="CE58" s="132"/>
      <c r="CF58" s="132"/>
      <c r="CG58" s="123">
        <f>SUM(BR58:CF58)</f>
        <v>0</v>
      </c>
    </row>
    <row r="59" spans="1:85" s="35" customFormat="1" x14ac:dyDescent="0.25">
      <c r="A59" s="30">
        <v>58</v>
      </c>
      <c r="B59" s="232">
        <v>45976</v>
      </c>
      <c r="C59" s="183" t="s">
        <v>105</v>
      </c>
      <c r="D59" s="183" t="s">
        <v>93</v>
      </c>
      <c r="E59" s="183" t="s">
        <v>74</v>
      </c>
      <c r="F59" s="183" t="s">
        <v>106</v>
      </c>
      <c r="G59" s="183" t="s">
        <v>10</v>
      </c>
      <c r="H59" s="183">
        <v>765</v>
      </c>
      <c r="I59" s="183" t="s">
        <v>5</v>
      </c>
      <c r="J59" s="183"/>
      <c r="K59" s="183">
        <v>0</v>
      </c>
      <c r="L59" s="183">
        <v>0</v>
      </c>
      <c r="M59" s="183">
        <v>0</v>
      </c>
      <c r="N59" s="183">
        <f>2500</f>
        <v>2500</v>
      </c>
      <c r="O59" s="183">
        <f>760+500</f>
        <v>1260</v>
      </c>
      <c r="P59" s="183"/>
      <c r="Q59" s="183"/>
      <c r="R59" s="183"/>
      <c r="S59" s="183"/>
      <c r="T59" s="183"/>
      <c r="U59" s="183"/>
      <c r="V59" s="183">
        <v>1000</v>
      </c>
      <c r="W59" s="183"/>
      <c r="X59" s="183"/>
      <c r="Y59" s="183"/>
      <c r="Z59" s="183"/>
      <c r="AA59" s="183"/>
      <c r="AB59" s="11">
        <f>K59+L59+M59+N59+O59+P59+Q59+R59+T59</f>
        <v>3760</v>
      </c>
      <c r="AC59" s="208">
        <f>AB59+AA59+Z59+Y59+X59+V59+U59</f>
        <v>4760</v>
      </c>
      <c r="AD59" s="183">
        <v>0</v>
      </c>
      <c r="AE59" s="183">
        <v>0</v>
      </c>
      <c r="AF59" s="183">
        <v>0</v>
      </c>
      <c r="AG59" s="183">
        <v>0</v>
      </c>
      <c r="AH59" s="183">
        <v>0</v>
      </c>
      <c r="AI59" s="183">
        <v>0</v>
      </c>
      <c r="AJ59" s="201">
        <f>AD59+AE59</f>
        <v>0</v>
      </c>
      <c r="AK59" s="11">
        <f>AJ59*AN59</f>
        <v>0</v>
      </c>
      <c r="AL59" s="11">
        <f>AK59+AI59+AH59+AG59+AF59</f>
        <v>0</v>
      </c>
      <c r="AM59" s="208">
        <f>AL59+AC59</f>
        <v>4760</v>
      </c>
      <c r="AN59" s="211">
        <v>500</v>
      </c>
      <c r="AO59" s="183">
        <v>31</v>
      </c>
      <c r="AP59" s="183"/>
      <c r="AQ59" s="183"/>
      <c r="AR59" s="183"/>
      <c r="AS59" s="183"/>
      <c r="AT59" s="183"/>
      <c r="AU59" s="183"/>
      <c r="AV59" s="209"/>
      <c r="AW59" s="183"/>
      <c r="AX59" s="181">
        <f>AV59*AW59</f>
        <v>0</v>
      </c>
      <c r="AY59" s="183"/>
      <c r="AZ59" s="183"/>
      <c r="BA59" s="183"/>
      <c r="BB59" s="12">
        <f>AO59+AP59</f>
        <v>31</v>
      </c>
      <c r="BC59" s="208">
        <f>(BB59+AJ59)*AN59+AQ59</f>
        <v>15500</v>
      </c>
      <c r="BD59" s="14">
        <f>BC59+AB59</f>
        <v>19260</v>
      </c>
      <c r="BE59" s="202">
        <f>(BC59+BA59+AY59+AT59)+(AI59+AH59+AC59)+AX59+AZ59+AS59+AR59+AG59+AF59</f>
        <v>20260</v>
      </c>
      <c r="BF59" s="183">
        <f>AV59+AN59</f>
        <v>500</v>
      </c>
      <c r="BG59" s="182"/>
      <c r="BH59" s="183"/>
      <c r="BI59" s="183"/>
      <c r="BJ59" s="183"/>
      <c r="BK59" s="183"/>
      <c r="BL59" s="183"/>
      <c r="BM59" s="183"/>
      <c r="BN59" s="183"/>
      <c r="BO59" s="183"/>
      <c r="BP59" s="212"/>
      <c r="BQ59" s="183"/>
      <c r="BR59" s="183"/>
      <c r="BS59" s="183"/>
      <c r="BT59" s="183"/>
      <c r="BU59" s="183"/>
      <c r="BV59" s="183"/>
      <c r="BW59" s="183"/>
      <c r="BX59" s="183"/>
      <c r="BY59" s="183"/>
      <c r="BZ59" s="183"/>
      <c r="CA59" s="183"/>
      <c r="CB59" s="183"/>
      <c r="CC59" s="183"/>
      <c r="CD59" s="183"/>
      <c r="CE59" s="183"/>
      <c r="CF59" s="183"/>
      <c r="CG59" s="183"/>
    </row>
    <row r="60" spans="1:85" x14ac:dyDescent="0.25">
      <c r="A60" s="30">
        <v>59</v>
      </c>
      <c r="B60" s="237">
        <v>45976</v>
      </c>
      <c r="C60" s="39" t="s">
        <v>458</v>
      </c>
      <c r="D60" s="39" t="s">
        <v>8</v>
      </c>
      <c r="E60" s="39" t="s">
        <v>11</v>
      </c>
      <c r="F60" s="39" t="s">
        <v>17</v>
      </c>
      <c r="G60" s="39" t="s">
        <v>86</v>
      </c>
      <c r="H60" s="39">
        <v>770</v>
      </c>
      <c r="I60" s="39" t="s">
        <v>448</v>
      </c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41">
        <f>K60+L60+M60+N60+O60+P60+Q60+R60+T60</f>
        <v>0</v>
      </c>
      <c r="AC60" s="41">
        <f>AB60+AA60+Z60+Y60+X60+V60+U60</f>
        <v>0</v>
      </c>
      <c r="AD60" s="39">
        <v>12</v>
      </c>
      <c r="AE60" s="39">
        <v>45</v>
      </c>
      <c r="AF60" s="39"/>
      <c r="AG60" s="39">
        <v>750</v>
      </c>
      <c r="AH60" s="39"/>
      <c r="AI60" s="39"/>
      <c r="AJ60" s="43">
        <f>AD60+AE60</f>
        <v>57</v>
      </c>
      <c r="AK60" s="41">
        <f>AJ60*AN60</f>
        <v>3420</v>
      </c>
      <c r="AL60" s="41">
        <f>AK60+AI60+AH60+AG60+AF60</f>
        <v>4170</v>
      </c>
      <c r="AM60" s="41">
        <f>AL60+AC60</f>
        <v>4170</v>
      </c>
      <c r="AN60" s="49">
        <v>60</v>
      </c>
      <c r="AO60" s="39"/>
      <c r="AP60" s="39"/>
      <c r="AQ60" s="39"/>
      <c r="AR60" s="39"/>
      <c r="AS60" s="39"/>
      <c r="AT60" s="39"/>
      <c r="AU60" s="39"/>
      <c r="AV60" s="44"/>
      <c r="AW60" s="39"/>
      <c r="AX60" s="40">
        <f>AV60*AW60</f>
        <v>0</v>
      </c>
      <c r="AY60" s="39"/>
      <c r="AZ60" s="39"/>
      <c r="BA60" s="39"/>
      <c r="BB60" s="12">
        <f>AO60+AP60</f>
        <v>0</v>
      </c>
      <c r="BC60" s="41">
        <f>(BB60+AJ60)*AN60+AQ60</f>
        <v>3420</v>
      </c>
      <c r="BD60" s="46">
        <f>BC60+AB60</f>
        <v>3420</v>
      </c>
      <c r="BE60" s="46">
        <f>(BC60+BA60+AY60+AT60)+(AI60+AH60+AC60)+AX60+AZ60+AS60+AR60+AG60+AF60</f>
        <v>4170</v>
      </c>
      <c r="BF60" s="39">
        <f>AV60+AN60</f>
        <v>60</v>
      </c>
      <c r="BG60" s="35"/>
      <c r="BH60" s="39"/>
      <c r="BI60" s="39"/>
      <c r="BJ60" s="39"/>
      <c r="BK60" s="39"/>
      <c r="BL60" s="39"/>
      <c r="BM60" s="39"/>
      <c r="BN60" s="39"/>
      <c r="BO60" s="240">
        <f>AP60*AO60</f>
        <v>0</v>
      </c>
      <c r="BP60" s="35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219">
        <f>SUM(BR60:CF60)</f>
        <v>0</v>
      </c>
    </row>
    <row r="61" spans="1:85" s="222" customFormat="1" x14ac:dyDescent="0.25">
      <c r="A61" s="221">
        <v>60</v>
      </c>
      <c r="B61" s="232">
        <v>45978</v>
      </c>
      <c r="C61" s="183" t="s">
        <v>111</v>
      </c>
      <c r="D61" s="183" t="s">
        <v>93</v>
      </c>
      <c r="E61" s="183" t="s">
        <v>74</v>
      </c>
      <c r="F61" s="183" t="s">
        <v>106</v>
      </c>
      <c r="G61" s="183" t="s">
        <v>10</v>
      </c>
      <c r="H61" s="183">
        <v>766</v>
      </c>
      <c r="I61" s="183" t="s">
        <v>5</v>
      </c>
      <c r="J61" s="183"/>
      <c r="K61" s="183">
        <v>0</v>
      </c>
      <c r="L61" s="183">
        <v>0</v>
      </c>
      <c r="M61" s="183">
        <v>0</v>
      </c>
      <c r="N61" s="183">
        <v>2500</v>
      </c>
      <c r="O61" s="183">
        <f>500+500</f>
        <v>1000</v>
      </c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1">
        <f>K61+L61+M61+N61+O61+P61+Q61+R61+T61</f>
        <v>3500</v>
      </c>
      <c r="AC61" s="208">
        <f>AB61+AA61+Z61+Y61+X61+V61+U61</f>
        <v>3500</v>
      </c>
      <c r="AD61" s="183">
        <v>17</v>
      </c>
      <c r="AE61" s="183">
        <v>0</v>
      </c>
      <c r="AF61" s="183">
        <v>0</v>
      </c>
      <c r="AG61" s="183">
        <v>0</v>
      </c>
      <c r="AH61" s="183">
        <v>0</v>
      </c>
      <c r="AI61" s="183"/>
      <c r="AJ61" s="201">
        <f>AD61+AE61</f>
        <v>17</v>
      </c>
      <c r="AK61" s="11">
        <f>AJ61*AN61</f>
        <v>7650</v>
      </c>
      <c r="AL61" s="11">
        <f>AK61+AI61+AH61+AG61+AF61</f>
        <v>7650</v>
      </c>
      <c r="AM61" s="208">
        <f>AL61+AC61</f>
        <v>11150</v>
      </c>
      <c r="AN61" s="211">
        <v>450</v>
      </c>
      <c r="AO61" s="238">
        <v>82</v>
      </c>
      <c r="AP61" s="183"/>
      <c r="AQ61" s="183"/>
      <c r="AR61" s="183"/>
      <c r="AS61" s="183"/>
      <c r="AT61" s="183"/>
      <c r="AU61" s="183"/>
      <c r="AV61" s="209"/>
      <c r="AW61" s="183"/>
      <c r="AX61" s="181">
        <f>AV61*AW61</f>
        <v>0</v>
      </c>
      <c r="AY61" s="183"/>
      <c r="AZ61" s="183"/>
      <c r="BA61" s="183"/>
      <c r="BB61" s="12">
        <f>AO61+AP61</f>
        <v>82</v>
      </c>
      <c r="BC61" s="208">
        <f>(BB61+AJ61)*AN61+AQ61</f>
        <v>44550</v>
      </c>
      <c r="BD61" s="14">
        <f>BC61+AB61</f>
        <v>48050</v>
      </c>
      <c r="BE61" s="202">
        <f>(BC61+BA61+AY61+AT61)+(AI61+AH61+AC61)+AX61+AZ61+AS61+AR61+AG61+AF61</f>
        <v>48050</v>
      </c>
      <c r="BF61" s="183">
        <f>AV61+AN61</f>
        <v>450</v>
      </c>
      <c r="BG61" s="182"/>
      <c r="BH61" s="183"/>
      <c r="BI61" s="183"/>
      <c r="BJ61" s="183"/>
      <c r="BK61" s="183"/>
      <c r="BL61" s="183"/>
      <c r="BM61" s="183"/>
      <c r="BN61" s="183"/>
      <c r="BO61" s="378"/>
      <c r="BP61" s="182"/>
      <c r="BQ61" s="183"/>
      <c r="BR61" s="183"/>
      <c r="BS61" s="183"/>
      <c r="BT61" s="183"/>
      <c r="BU61" s="183"/>
      <c r="BV61" s="183"/>
      <c r="BW61" s="183"/>
      <c r="BX61" s="183"/>
      <c r="BY61" s="183"/>
      <c r="BZ61" s="183"/>
      <c r="CA61" s="183"/>
      <c r="CB61" s="183"/>
      <c r="CC61" s="183"/>
      <c r="CD61" s="183"/>
      <c r="CE61" s="183"/>
      <c r="CF61" s="183"/>
      <c r="CG61" s="183"/>
    </row>
    <row r="62" spans="1:85" x14ac:dyDescent="0.25">
      <c r="A62" s="30">
        <v>61</v>
      </c>
      <c r="B62" s="111">
        <v>45983</v>
      </c>
      <c r="C62" s="49" t="s">
        <v>150</v>
      </c>
      <c r="D62" s="49" t="s">
        <v>151</v>
      </c>
      <c r="E62" s="49" t="s">
        <v>74</v>
      </c>
      <c r="F62" s="49" t="s">
        <v>106</v>
      </c>
      <c r="G62" s="49" t="s">
        <v>10</v>
      </c>
      <c r="H62" s="59">
        <v>620</v>
      </c>
      <c r="I62" s="49" t="s">
        <v>5</v>
      </c>
      <c r="J62" s="39"/>
      <c r="K62" s="40">
        <v>0</v>
      </c>
      <c r="L62" s="40">
        <v>0</v>
      </c>
      <c r="M62" s="40">
        <v>2000</v>
      </c>
      <c r="N62" s="40">
        <v>0</v>
      </c>
      <c r="O62" s="40">
        <v>3000</v>
      </c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>
        <v>1000</v>
      </c>
      <c r="AB62" s="41">
        <f>K62+L62+M62+N62+O62+P62+Q62+R62+T62</f>
        <v>5000</v>
      </c>
      <c r="AC62" s="41">
        <f>AB62+AA62+Z62+Y62+X62+V62+U62</f>
        <v>6000</v>
      </c>
      <c r="AD62" s="40">
        <v>0</v>
      </c>
      <c r="AE62" s="40"/>
      <c r="AF62" s="40"/>
      <c r="AG62" s="40"/>
      <c r="AH62" s="40"/>
      <c r="AI62" s="40"/>
      <c r="AJ62" s="43">
        <f>AD62+AE62</f>
        <v>0</v>
      </c>
      <c r="AK62" s="41">
        <f>AJ62*AN62</f>
        <v>0</v>
      </c>
      <c r="AL62" s="41">
        <f>AK62+AI62+AH62+AG62+AF62</f>
        <v>0</v>
      </c>
      <c r="AM62" s="41">
        <f>AL62+AC62</f>
        <v>6000</v>
      </c>
      <c r="AN62" s="44">
        <v>500</v>
      </c>
      <c r="AO62" s="40">
        <v>76.900000000000006</v>
      </c>
      <c r="AP62" s="40">
        <v>0</v>
      </c>
      <c r="AQ62" s="40">
        <v>0</v>
      </c>
      <c r="AR62" s="40">
        <v>0</v>
      </c>
      <c r="AS62" s="40">
        <v>0</v>
      </c>
      <c r="AT62" s="40">
        <v>0</v>
      </c>
      <c r="AU62" s="40">
        <f>700*35-3320</f>
        <v>21180</v>
      </c>
      <c r="AV62" s="44">
        <v>72</v>
      </c>
      <c r="AW62" s="40">
        <v>85</v>
      </c>
      <c r="AX62" s="40">
        <f>AV62*AW62</f>
        <v>6120</v>
      </c>
      <c r="AY62" s="40"/>
      <c r="AZ62" s="40"/>
      <c r="BA62" s="40"/>
      <c r="BB62" s="12">
        <f>AO62+AP62</f>
        <v>76.900000000000006</v>
      </c>
      <c r="BC62" s="88">
        <f>(BB62+AJ62)*AN62+AQ62</f>
        <v>38450</v>
      </c>
      <c r="BD62" s="46">
        <f>BC62+AB62</f>
        <v>43450</v>
      </c>
      <c r="BE62" s="46">
        <f>(BC62+BA62+AY62+AT62)+(AI62+AH62+AC62)+AX62+AZ62+AS62+AR62+AG62+AF62+AU62</f>
        <v>71750</v>
      </c>
      <c r="BF62" s="50">
        <f>AV62+AN62</f>
        <v>572</v>
      </c>
      <c r="BG62" s="35"/>
      <c r="BH62" s="45">
        <v>0</v>
      </c>
      <c r="BI62" s="45">
        <v>0</v>
      </c>
      <c r="BJ62" s="45">
        <v>0</v>
      </c>
      <c r="BK62" s="45">
        <v>0</v>
      </c>
      <c r="BL62" s="45">
        <v>0</v>
      </c>
      <c r="BM62" s="45">
        <v>0</v>
      </c>
      <c r="BN62" s="45">
        <v>0</v>
      </c>
      <c r="BO62" s="240">
        <f>AP62*AO62</f>
        <v>0</v>
      </c>
      <c r="BP62" s="86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219">
        <f>SUM(BR62:CF62)</f>
        <v>0</v>
      </c>
    </row>
    <row r="63" spans="1:85" x14ac:dyDescent="0.25">
      <c r="A63" s="30">
        <v>62</v>
      </c>
      <c r="B63" s="237">
        <v>45988</v>
      </c>
      <c r="C63" s="98" t="s">
        <v>460</v>
      </c>
      <c r="D63" s="98" t="s">
        <v>459</v>
      </c>
      <c r="E63" s="98" t="s">
        <v>74</v>
      </c>
      <c r="F63" s="98" t="s">
        <v>90</v>
      </c>
      <c r="G63" s="98" t="s">
        <v>10</v>
      </c>
      <c r="H63" s="98">
        <v>767</v>
      </c>
      <c r="I63" s="98" t="s">
        <v>5</v>
      </c>
      <c r="J63" s="39"/>
      <c r="K63" s="39">
        <v>12000</v>
      </c>
      <c r="L63" s="39">
        <v>1200</v>
      </c>
      <c r="M63" s="39">
        <v>2500</v>
      </c>
      <c r="N63" s="39">
        <f>4500+1800+2000</f>
        <v>8300</v>
      </c>
      <c r="O63" s="39">
        <v>4300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40340</v>
      </c>
      <c r="V63" s="39">
        <v>2400</v>
      </c>
      <c r="W63" s="39"/>
      <c r="X63" s="39"/>
      <c r="Y63" s="39"/>
      <c r="Z63" s="39"/>
      <c r="AA63" s="39">
        <f>1500</f>
        <v>1500</v>
      </c>
      <c r="AB63" s="41">
        <f>K63+L63+M63+N63+O63+P63+Q63+R63+T63</f>
        <v>28300</v>
      </c>
      <c r="AC63" s="41">
        <f>AB63+AA63+Z63+Y63+X63+V63+U63</f>
        <v>72540</v>
      </c>
      <c r="AD63" s="39">
        <f>27+18</f>
        <v>45</v>
      </c>
      <c r="AE63" s="39">
        <v>0</v>
      </c>
      <c r="AF63" s="39">
        <v>0</v>
      </c>
      <c r="AG63" s="39">
        <v>0</v>
      </c>
      <c r="AH63" s="39">
        <v>0</v>
      </c>
      <c r="AI63" s="39">
        <v>0</v>
      </c>
      <c r="AJ63" s="201">
        <f>AD63+AE63</f>
        <v>45</v>
      </c>
      <c r="AK63" s="11">
        <f>AJ63*AN63</f>
        <v>45000</v>
      </c>
      <c r="AL63" s="11">
        <f>AK63+AI63+AH63+AG63+AF63</f>
        <v>45000</v>
      </c>
      <c r="AM63" s="208">
        <f>AL63+AC63</f>
        <v>117540</v>
      </c>
      <c r="AN63" s="44">
        <v>1000</v>
      </c>
      <c r="AO63" s="39">
        <v>115</v>
      </c>
      <c r="AP63" s="39">
        <v>24</v>
      </c>
      <c r="AQ63" s="39">
        <v>19300</v>
      </c>
      <c r="AR63" s="39"/>
      <c r="AS63" s="39"/>
      <c r="AT63" s="39"/>
      <c r="AU63" s="39"/>
      <c r="AV63" s="209"/>
      <c r="AW63" s="39"/>
      <c r="AX63" s="181">
        <f>AV63*AW63</f>
        <v>0</v>
      </c>
      <c r="AY63" s="39"/>
      <c r="AZ63" s="39"/>
      <c r="BA63" s="39"/>
      <c r="BB63" s="12">
        <f>AO63+AP63</f>
        <v>139</v>
      </c>
      <c r="BC63" s="208">
        <f>(BB63+AJ63)*AN63+AQ63</f>
        <v>203300</v>
      </c>
      <c r="BD63" s="14">
        <f>BC63+AB63</f>
        <v>231600</v>
      </c>
      <c r="BE63" s="202">
        <f>(BC63+BA63+AY63+AT63)+(AI63+AH63+AC63)+AX63+AZ63+AS63+AR63+AG63+AF63</f>
        <v>275840</v>
      </c>
      <c r="BF63" s="183">
        <f>AV63+AN63</f>
        <v>1000</v>
      </c>
      <c r="BG63" s="86"/>
      <c r="BH63" s="39"/>
      <c r="BI63" s="39"/>
      <c r="BJ63" s="39"/>
      <c r="BK63" s="39"/>
      <c r="BL63" s="39"/>
      <c r="BM63" s="39"/>
      <c r="BN63" s="39"/>
      <c r="BO63" s="377"/>
      <c r="BP63" s="35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</row>
    <row r="64" spans="1:85" x14ac:dyDescent="0.25">
      <c r="A64" s="30">
        <v>63</v>
      </c>
      <c r="B64" s="111">
        <v>45989</v>
      </c>
      <c r="C64" s="49" t="s">
        <v>152</v>
      </c>
      <c r="D64" s="49" t="s">
        <v>5</v>
      </c>
      <c r="E64" s="49" t="s">
        <v>74</v>
      </c>
      <c r="F64" s="49" t="s">
        <v>90</v>
      </c>
      <c r="G64" s="49" t="s">
        <v>10</v>
      </c>
      <c r="H64" s="59">
        <v>637</v>
      </c>
      <c r="I64" s="49" t="s">
        <v>5</v>
      </c>
      <c r="J64" s="47"/>
      <c r="K64" s="48">
        <v>25000</v>
      </c>
      <c r="L64" s="48">
        <v>2500</v>
      </c>
      <c r="M64" s="48">
        <v>2500</v>
      </c>
      <c r="N64" s="48">
        <v>8300</v>
      </c>
      <c r="O64" s="48">
        <v>2530</v>
      </c>
      <c r="P64" s="48">
        <v>0</v>
      </c>
      <c r="Q64" s="48">
        <v>0</v>
      </c>
      <c r="R64" s="48">
        <v>0</v>
      </c>
      <c r="S64" s="48">
        <v>4200</v>
      </c>
      <c r="T64" s="48">
        <v>0</v>
      </c>
      <c r="U64" s="48">
        <v>0</v>
      </c>
      <c r="V64" s="48">
        <v>0</v>
      </c>
      <c r="W64" s="48">
        <v>0</v>
      </c>
      <c r="X64" s="48">
        <v>0</v>
      </c>
      <c r="Y64" s="48">
        <v>0</v>
      </c>
      <c r="Z64" s="48">
        <v>1552.76</v>
      </c>
      <c r="AA64" s="48">
        <v>0</v>
      </c>
      <c r="AB64" s="41">
        <f>K64+L64+M64+N64+O64+P64+Q64+R64+T64</f>
        <v>40830</v>
      </c>
      <c r="AC64" s="83">
        <f>AB64+AA64+Z64+Y64+X64+V64+U64</f>
        <v>42382.76</v>
      </c>
      <c r="AD64" s="48">
        <f>29+15</f>
        <v>44</v>
      </c>
      <c r="AE64" s="48">
        <v>31.5</v>
      </c>
      <c r="AF64" s="48">
        <v>0</v>
      </c>
      <c r="AG64" s="48">
        <v>0</v>
      </c>
      <c r="AH64" s="48">
        <v>0</v>
      </c>
      <c r="AI64" s="48">
        <v>0</v>
      </c>
      <c r="AJ64" s="43">
        <f>AD64+AE64</f>
        <v>75.5</v>
      </c>
      <c r="AK64" s="41">
        <f>AJ64*AN64</f>
        <v>30200</v>
      </c>
      <c r="AL64" s="41">
        <f>AK64+AI64+AH64+AG64+AF64</f>
        <v>30200</v>
      </c>
      <c r="AM64" s="41">
        <f>AL64+AC64</f>
        <v>72582.760000000009</v>
      </c>
      <c r="AN64" s="49">
        <v>400</v>
      </c>
      <c r="AO64" s="48">
        <v>120</v>
      </c>
      <c r="AP64" s="48"/>
      <c r="AQ64" s="48">
        <v>11500</v>
      </c>
      <c r="AR64" s="48">
        <v>0</v>
      </c>
      <c r="AS64" s="48">
        <v>0</v>
      </c>
      <c r="AT64" s="48"/>
      <c r="AU64" s="48">
        <f>5*94</f>
        <v>470</v>
      </c>
      <c r="AV64" s="49">
        <v>50</v>
      </c>
      <c r="AW64" s="48">
        <v>188</v>
      </c>
      <c r="AX64" s="181">
        <f>AV64*AW64</f>
        <v>9400</v>
      </c>
      <c r="AY64" s="48"/>
      <c r="AZ64" s="48"/>
      <c r="BA64" s="48">
        <f>13403.45+1404.6-470</f>
        <v>14338.050000000001</v>
      </c>
      <c r="BB64" s="12">
        <f>AO64+AP64</f>
        <v>120</v>
      </c>
      <c r="BC64" s="41">
        <f>(BB64+AJ64)*AN64+AQ64</f>
        <v>89700</v>
      </c>
      <c r="BD64" s="46">
        <f>BC64+AB64</f>
        <v>130530</v>
      </c>
      <c r="BE64" s="46">
        <f>(BC64+BA64+AY64+AT64)+(AI64+AH64+AC64)+AX64+AZ64+AS64+AR64+AG64+AF64+AU64</f>
        <v>156290.81</v>
      </c>
      <c r="BF64" s="50">
        <f>AV64+AN64</f>
        <v>450</v>
      </c>
      <c r="BG64" s="35"/>
      <c r="BH64" s="45">
        <v>0</v>
      </c>
      <c r="BI64" s="45">
        <v>0</v>
      </c>
      <c r="BJ64" s="45">
        <v>0</v>
      </c>
      <c r="BK64" s="45">
        <v>0</v>
      </c>
      <c r="BL64" s="45">
        <v>0</v>
      </c>
      <c r="BM64" s="45">
        <v>0</v>
      </c>
      <c r="BN64" s="45">
        <v>0</v>
      </c>
      <c r="BO64" s="240">
        <f>AP64*AO64</f>
        <v>0</v>
      </c>
      <c r="BP64" s="86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219">
        <f>SUM(BR64:CF64)</f>
        <v>0</v>
      </c>
    </row>
    <row r="65" spans="1:85" x14ac:dyDescent="0.25">
      <c r="A65" s="30">
        <v>64</v>
      </c>
      <c r="B65" s="24">
        <v>45990</v>
      </c>
      <c r="C65" s="25" t="s">
        <v>153</v>
      </c>
      <c r="D65" s="25" t="s">
        <v>398</v>
      </c>
      <c r="E65" s="25" t="s">
        <v>74</v>
      </c>
      <c r="F65" s="25" t="s">
        <v>90</v>
      </c>
      <c r="G65" s="25" t="s">
        <v>10</v>
      </c>
      <c r="H65" s="109">
        <v>636</v>
      </c>
      <c r="I65" s="25" t="s">
        <v>5</v>
      </c>
      <c r="J65" s="198"/>
      <c r="K65" s="179">
        <v>27000</v>
      </c>
      <c r="L65" s="179">
        <v>2700</v>
      </c>
      <c r="M65" s="179">
        <v>2500</v>
      </c>
      <c r="N65" s="179">
        <v>8300</v>
      </c>
      <c r="O65" s="179">
        <v>2970</v>
      </c>
      <c r="P65" s="179">
        <v>0</v>
      </c>
      <c r="Q65" s="179">
        <v>0</v>
      </c>
      <c r="R65" s="179">
        <v>0</v>
      </c>
      <c r="S65" s="179">
        <v>0</v>
      </c>
      <c r="T65" s="179">
        <v>0</v>
      </c>
      <c r="U65" s="179">
        <v>0</v>
      </c>
      <c r="V65" s="179">
        <v>0</v>
      </c>
      <c r="W65" s="179">
        <v>0</v>
      </c>
      <c r="X65" s="179">
        <v>0</v>
      </c>
      <c r="Y65" s="179">
        <v>0</v>
      </c>
      <c r="Z65" s="179">
        <f>47091.95-43470-612.19</f>
        <v>3009.759999999997</v>
      </c>
      <c r="AA65" s="179">
        <v>0</v>
      </c>
      <c r="AB65" s="11">
        <f>K65+L65+M65+N65+O65+P65+Q65+R65+T65</f>
        <v>43470</v>
      </c>
      <c r="AC65" s="208">
        <f>AB65+AA65+Z65+Y65+X65+V65+U65</f>
        <v>46479.759999999995</v>
      </c>
      <c r="AD65" s="235">
        <f>29+15</f>
        <v>44</v>
      </c>
      <c r="AE65" s="235">
        <v>35</v>
      </c>
      <c r="AF65" s="235">
        <v>0</v>
      </c>
      <c r="AG65" s="235">
        <v>0</v>
      </c>
      <c r="AH65" s="235">
        <v>0</v>
      </c>
      <c r="AI65" s="235">
        <v>0</v>
      </c>
      <c r="AJ65" s="201">
        <f>AD65+AE65</f>
        <v>79</v>
      </c>
      <c r="AK65" s="11">
        <f>AJ65*AN65</f>
        <v>31600</v>
      </c>
      <c r="AL65" s="208">
        <f>AK65+AI65+AH65+AG65+AF65</f>
        <v>31600</v>
      </c>
      <c r="AM65" s="208">
        <f>AL65+AC65</f>
        <v>78079.759999999995</v>
      </c>
      <c r="AN65" s="211">
        <v>400</v>
      </c>
      <c r="AO65" s="235">
        <v>120</v>
      </c>
      <c r="AP65" s="235">
        <v>0</v>
      </c>
      <c r="AQ65" s="235">
        <v>17750</v>
      </c>
      <c r="AR65" s="235">
        <v>0</v>
      </c>
      <c r="AS65" s="235">
        <v>0</v>
      </c>
      <c r="AT65" s="235">
        <v>0</v>
      </c>
      <c r="AU65" s="235">
        <v>0</v>
      </c>
      <c r="AV65" s="211"/>
      <c r="AW65" s="179"/>
      <c r="AX65" s="181">
        <f>AV65*AW65</f>
        <v>0</v>
      </c>
      <c r="AY65" s="179"/>
      <c r="AZ65" s="179"/>
      <c r="BA65" s="179">
        <f>111896-BC65</f>
        <v>14546</v>
      </c>
      <c r="BB65" s="12">
        <f>AO65+AP65</f>
        <v>120</v>
      </c>
      <c r="BC65" s="208">
        <f>(BB65+AJ65)*AN65+AQ65</f>
        <v>97350</v>
      </c>
      <c r="BD65" s="14">
        <f>BC65+AB65</f>
        <v>140820</v>
      </c>
      <c r="BE65" s="202">
        <f>(BC65+BA65+AY65+AT65)+(AI65+AH65+AC65)+AX65+AZ65+AS65+AR65+AG65+AF65</f>
        <v>158375.76</v>
      </c>
      <c r="BF65" s="50">
        <f>AV65+AN65</f>
        <v>400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214">
        <f>AP65*AO65</f>
        <v>0</v>
      </c>
      <c r="BQ65" s="132"/>
      <c r="BR65" s="132"/>
      <c r="BS65" s="132"/>
      <c r="BT65" s="132"/>
      <c r="BU65" s="132"/>
      <c r="BV65" s="132"/>
      <c r="BW65" s="132"/>
      <c r="BX65" s="132"/>
      <c r="BY65" s="132"/>
      <c r="BZ65" s="132"/>
      <c r="CA65" s="132"/>
      <c r="CB65" s="132"/>
      <c r="CC65" s="132"/>
      <c r="CD65" s="132"/>
      <c r="CE65" s="132"/>
      <c r="CF65" s="132"/>
      <c r="CG65" s="123">
        <f>SUM(BR65:CF65)</f>
        <v>0</v>
      </c>
    </row>
    <row r="66" spans="1:85" x14ac:dyDescent="0.25">
      <c r="A66" s="30">
        <v>65</v>
      </c>
      <c r="B66" s="237">
        <v>45992</v>
      </c>
      <c r="C66" s="39" t="s">
        <v>461</v>
      </c>
      <c r="D66" s="39" t="s">
        <v>16</v>
      </c>
      <c r="E66" s="39" t="s">
        <v>74</v>
      </c>
      <c r="F66" s="39" t="s">
        <v>462</v>
      </c>
      <c r="G66" s="39" t="s">
        <v>10</v>
      </c>
      <c r="H66" s="39">
        <v>754</v>
      </c>
      <c r="I66" s="39" t="s">
        <v>5</v>
      </c>
      <c r="J66" s="39"/>
      <c r="K66" s="39">
        <f>16200-10000</f>
        <v>6200</v>
      </c>
      <c r="L66" s="39">
        <v>1620</v>
      </c>
      <c r="M66" s="39">
        <v>0</v>
      </c>
      <c r="N66" s="39">
        <f>3500+2000</f>
        <v>5500</v>
      </c>
      <c r="O66" s="39">
        <v>2600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41">
        <f>K66+L66+M66+N66+O66+P66+Q66+R66+T66</f>
        <v>15920</v>
      </c>
      <c r="AC66" s="41">
        <f>AB66+AA66+Z66+Y66+X66+V66+U66</f>
        <v>15920</v>
      </c>
      <c r="AD66" s="39">
        <v>27</v>
      </c>
      <c r="AE66" s="39">
        <v>0</v>
      </c>
      <c r="AF66" s="39"/>
      <c r="AG66" s="39"/>
      <c r="AH66" s="39"/>
      <c r="AI66" s="39"/>
      <c r="AJ66" s="43">
        <f>AD66+AE66</f>
        <v>27</v>
      </c>
      <c r="AK66" s="41">
        <f>AJ66*AN66</f>
        <v>13500</v>
      </c>
      <c r="AL66" s="41">
        <f>AK66+AI66+AH66+AG66+AF66</f>
        <v>13500</v>
      </c>
      <c r="AM66" s="41">
        <f>AL66+AC66</f>
        <v>29420</v>
      </c>
      <c r="AN66" s="44">
        <v>500</v>
      </c>
      <c r="AO66" s="39">
        <v>110</v>
      </c>
      <c r="AP66" s="39"/>
      <c r="AQ66" s="39">
        <v>8050</v>
      </c>
      <c r="AR66" s="39"/>
      <c r="AS66" s="39"/>
      <c r="AT66" s="39"/>
      <c r="AU66" s="39"/>
      <c r="AV66" s="44">
        <v>200</v>
      </c>
      <c r="AW66" s="39">
        <v>137</v>
      </c>
      <c r="AX66" s="40">
        <f>AV66*AW66</f>
        <v>27400</v>
      </c>
      <c r="AY66" s="39"/>
      <c r="AZ66" s="39"/>
      <c r="BA66" s="39"/>
      <c r="BB66" s="43">
        <f>AO66+AP66</f>
        <v>110</v>
      </c>
      <c r="BC66" s="41">
        <f>(BB66+AJ66)*AN66+AQ66</f>
        <v>76550</v>
      </c>
      <c r="BD66" s="46">
        <f>BC66+AB66</f>
        <v>92470</v>
      </c>
      <c r="BE66" s="46">
        <f>(BC66+BA66+AY66+AT66)+(AI66+AH66+AC66)+AX66+AZ66+AS66+AR66+AG66+AF66</f>
        <v>119870</v>
      </c>
      <c r="BF66" s="39">
        <f>AV66+AN66</f>
        <v>700</v>
      </c>
      <c r="BG66" s="35"/>
      <c r="BH66" s="39"/>
      <c r="BI66" s="39"/>
      <c r="BJ66" s="39"/>
      <c r="BK66" s="39"/>
      <c r="BL66" s="39"/>
      <c r="BM66" s="39"/>
      <c r="BN66" s="39"/>
      <c r="BO66" s="377"/>
      <c r="BP66" s="35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</row>
    <row r="67" spans="1:85" x14ac:dyDescent="0.25">
      <c r="A67" s="30">
        <v>66</v>
      </c>
      <c r="B67" s="232">
        <v>45994</v>
      </c>
      <c r="C67" s="183" t="s">
        <v>470</v>
      </c>
      <c r="D67" s="183" t="s">
        <v>471</v>
      </c>
      <c r="E67" s="183" t="s">
        <v>74</v>
      </c>
      <c r="F67" s="183" t="s">
        <v>90</v>
      </c>
      <c r="G67" s="183" t="s">
        <v>10</v>
      </c>
      <c r="H67" s="183">
        <v>746</v>
      </c>
      <c r="I67" s="183" t="s">
        <v>5</v>
      </c>
      <c r="J67" s="183"/>
      <c r="K67" s="183">
        <f>12000+3500</f>
        <v>15500</v>
      </c>
      <c r="L67" s="183">
        <v>0</v>
      </c>
      <c r="M67" s="183">
        <v>2500</v>
      </c>
      <c r="N67" s="183">
        <f>1800+3500+2000</f>
        <v>7300</v>
      </c>
      <c r="O67" s="183">
        <v>2970</v>
      </c>
      <c r="P67" s="183"/>
      <c r="Q67" s="183"/>
      <c r="R67" s="183"/>
      <c r="S67" s="183">
        <v>1400</v>
      </c>
      <c r="T67" s="183"/>
      <c r="U67" s="183"/>
      <c r="V67" s="183"/>
      <c r="W67" s="183">
        <f>2880</f>
        <v>2880</v>
      </c>
      <c r="X67" s="183"/>
      <c r="Y67" s="183">
        <f>250*2</f>
        <v>500</v>
      </c>
      <c r="Z67" s="183">
        <v>9719.1299999999992</v>
      </c>
      <c r="AA67" s="183">
        <v>30000</v>
      </c>
      <c r="AB67" s="41">
        <f>K67+L67+M67+N67+O67+P67+Q67+R67+T67</f>
        <v>28270</v>
      </c>
      <c r="AC67" s="41">
        <f>AB67+AA67+Z67+Y67+X67+V67+U67</f>
        <v>68489.13</v>
      </c>
      <c r="AD67" s="183">
        <f>20+15</f>
        <v>35</v>
      </c>
      <c r="AE67" s="183">
        <v>35</v>
      </c>
      <c r="AF67" s="183">
        <v>0</v>
      </c>
      <c r="AG67" s="183">
        <v>0</v>
      </c>
      <c r="AH67" s="183">
        <v>0</v>
      </c>
      <c r="AI67" s="183">
        <v>0</v>
      </c>
      <c r="AJ67" s="201">
        <f>AD67+AE67</f>
        <v>70</v>
      </c>
      <c r="AK67" s="11">
        <f>AJ67*AN67</f>
        <v>59500</v>
      </c>
      <c r="AL67" s="11">
        <f>AK67+AI67+AH67+AG67+AF67</f>
        <v>59500</v>
      </c>
      <c r="AM67" s="208">
        <f>AL67+AC67</f>
        <v>127989.13</v>
      </c>
      <c r="AN67" s="209">
        <v>850</v>
      </c>
      <c r="AO67" s="183">
        <f>115</f>
        <v>115</v>
      </c>
      <c r="AP67" s="183">
        <v>24</v>
      </c>
      <c r="AQ67" s="183">
        <v>24500</v>
      </c>
      <c r="AR67" s="183"/>
      <c r="AS67" s="183"/>
      <c r="AT67" s="183"/>
      <c r="AU67" s="183">
        <f>12.5*400</f>
        <v>5000</v>
      </c>
      <c r="AV67" s="209">
        <v>70</v>
      </c>
      <c r="AW67" s="183">
        <f>230+15</f>
        <v>245</v>
      </c>
      <c r="AX67" s="181">
        <f>AV67*AW67</f>
        <v>17150</v>
      </c>
      <c r="AY67" s="183"/>
      <c r="AZ67" s="183"/>
      <c r="BA67" s="183">
        <v>25069</v>
      </c>
      <c r="BB67" s="12">
        <f>AO67+AP67</f>
        <v>139</v>
      </c>
      <c r="BC67" s="208">
        <f>(BB67+AJ67)*AN67+AQ67</f>
        <v>202150</v>
      </c>
      <c r="BD67" s="14">
        <f>BC67+AB67</f>
        <v>230420</v>
      </c>
      <c r="BE67" s="202">
        <f>(BC67+BA67+AY67+AT67)+(AI67+AH67+AC67)+AX67+AZ67+AS67+AR67+AG67+AF67</f>
        <v>312858.13</v>
      </c>
      <c r="BF67" s="183">
        <f>AV67+AN67</f>
        <v>920</v>
      </c>
      <c r="BH67" s="183"/>
      <c r="BI67" s="183"/>
      <c r="BJ67" s="183"/>
      <c r="BK67" s="183"/>
      <c r="BL67" s="183"/>
      <c r="BM67" s="183"/>
      <c r="BN67" s="183"/>
      <c r="BO67" s="378"/>
      <c r="BP67" s="212"/>
      <c r="BQ67" s="183"/>
      <c r="BR67" s="183"/>
      <c r="BS67" s="183"/>
      <c r="BT67" s="183"/>
      <c r="BU67" s="183"/>
      <c r="BV67" s="183"/>
      <c r="BW67" s="183"/>
      <c r="BX67" s="183"/>
      <c r="BY67" s="183"/>
      <c r="BZ67" s="183"/>
      <c r="CA67" s="183"/>
      <c r="CB67" s="183"/>
      <c r="CC67" s="183"/>
      <c r="CD67" s="183"/>
      <c r="CE67" s="183"/>
      <c r="CF67" s="183"/>
      <c r="CG67" s="183"/>
    </row>
    <row r="68" spans="1:85" x14ac:dyDescent="0.25">
      <c r="A68" s="30">
        <v>67</v>
      </c>
      <c r="B68" s="192">
        <v>45996</v>
      </c>
      <c r="C68" s="110" t="s">
        <v>154</v>
      </c>
      <c r="D68" s="110" t="s">
        <v>154</v>
      </c>
      <c r="E68" s="110" t="s">
        <v>74</v>
      </c>
      <c r="F68" s="110" t="s">
        <v>90</v>
      </c>
      <c r="G68" s="110" t="s">
        <v>10</v>
      </c>
      <c r="H68" s="59">
        <v>641</v>
      </c>
      <c r="I68" s="110" t="s">
        <v>5</v>
      </c>
      <c r="J68" s="39"/>
      <c r="K68" s="40">
        <v>25000</v>
      </c>
      <c r="L68" s="40">
        <v>2500</v>
      </c>
      <c r="M68" s="40">
        <v>2000</v>
      </c>
      <c r="N68" s="40">
        <v>8300</v>
      </c>
      <c r="O68" s="40">
        <v>3310</v>
      </c>
      <c r="P68" s="40">
        <v>0</v>
      </c>
      <c r="Q68" s="40">
        <v>0</v>
      </c>
      <c r="R68" s="40">
        <v>0</v>
      </c>
      <c r="S68" s="40">
        <v>0</v>
      </c>
      <c r="T68" s="40">
        <v>6750</v>
      </c>
      <c r="U68" s="40">
        <v>0</v>
      </c>
      <c r="V68" s="40">
        <v>0</v>
      </c>
      <c r="W68" s="40">
        <f>6*280</f>
        <v>1680</v>
      </c>
      <c r="X68" s="40">
        <v>0</v>
      </c>
      <c r="Y68" s="40">
        <f>2*300</f>
        <v>600</v>
      </c>
      <c r="Z68" s="40">
        <f>55586.21-45860</f>
        <v>9726.2099999999991</v>
      </c>
      <c r="AA68" s="40"/>
      <c r="AB68" s="41">
        <f>K68+L68+M68+N68+O68+P68+Q68+R68+T68</f>
        <v>47860</v>
      </c>
      <c r="AC68" s="41">
        <f>AB68+AA68+Z68+Y68+X68+V68+U68</f>
        <v>58186.21</v>
      </c>
      <c r="AD68" s="40">
        <f>27+14</f>
        <v>41</v>
      </c>
      <c r="AE68" s="40">
        <v>0</v>
      </c>
      <c r="AF68" s="40">
        <v>0</v>
      </c>
      <c r="AG68" s="40">
        <v>0</v>
      </c>
      <c r="AH68" s="40">
        <v>0</v>
      </c>
      <c r="AI68" s="40">
        <v>1375</v>
      </c>
      <c r="AJ68" s="201">
        <f>AD68+AE68</f>
        <v>41</v>
      </c>
      <c r="AK68" s="41">
        <f>AJ68*AN68</f>
        <v>20500</v>
      </c>
      <c r="AL68" s="41">
        <f>AK68+AI68+AH68+AG68+AF68</f>
        <v>21875</v>
      </c>
      <c r="AM68" s="41">
        <f>AL68+AC68</f>
        <v>80061.209999999992</v>
      </c>
      <c r="AN68" s="44">
        <v>500</v>
      </c>
      <c r="AO68" s="40">
        <v>190</v>
      </c>
      <c r="AP68" s="40">
        <v>24</v>
      </c>
      <c r="AQ68" s="40">
        <v>9690</v>
      </c>
      <c r="AR68" s="40">
        <v>0</v>
      </c>
      <c r="AS68" s="40">
        <v>0</v>
      </c>
      <c r="AT68" s="40">
        <v>0</v>
      </c>
      <c r="AU68" s="40">
        <v>0</v>
      </c>
      <c r="AV68" s="44">
        <v>50</v>
      </c>
      <c r="AW68" s="40">
        <v>302</v>
      </c>
      <c r="AX68" s="40">
        <f>AV68*AW68</f>
        <v>15100</v>
      </c>
      <c r="AY68" s="40">
        <v>0</v>
      </c>
      <c r="AZ68" s="40">
        <v>0</v>
      </c>
      <c r="BA68" s="40">
        <f>252936.78-211851.21</f>
        <v>41085.570000000007</v>
      </c>
      <c r="BB68" s="12">
        <f>AO68+AP68</f>
        <v>214</v>
      </c>
      <c r="BC68" s="41">
        <f>(BB68+AJ68)*AN68+AQ68</f>
        <v>137190</v>
      </c>
      <c r="BD68" s="46">
        <f>BC68+AB68</f>
        <v>185050</v>
      </c>
      <c r="BE68" s="46">
        <f>(BC68+BA68+AY68+AT68)+(AI68+AH68+AC68)+AX68+AZ68+AS68+AR68+AG68+AF68</f>
        <v>252936.78</v>
      </c>
      <c r="BF68" s="50">
        <f>AV68+AN68</f>
        <v>550</v>
      </c>
      <c r="BG68" s="35"/>
      <c r="BH68" s="45">
        <v>0</v>
      </c>
      <c r="BI68" s="45">
        <v>0</v>
      </c>
      <c r="BJ68" s="45">
        <v>0</v>
      </c>
      <c r="BK68" s="45">
        <v>0</v>
      </c>
      <c r="BL68" s="45">
        <v>0</v>
      </c>
      <c r="BM68" s="45">
        <v>0</v>
      </c>
      <c r="BN68" s="45">
        <v>0</v>
      </c>
      <c r="BO68" s="240">
        <f>AP68*AO68</f>
        <v>4560</v>
      </c>
      <c r="BP68" s="35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219">
        <f>SUM(BR68:CF68)</f>
        <v>0</v>
      </c>
    </row>
    <row r="69" spans="1:85" s="35" customFormat="1" x14ac:dyDescent="0.25">
      <c r="A69" s="30">
        <v>68</v>
      </c>
      <c r="B69" s="192">
        <v>46002</v>
      </c>
      <c r="C69" s="110" t="s">
        <v>155</v>
      </c>
      <c r="D69" s="110" t="s">
        <v>156</v>
      </c>
      <c r="E69" s="110" t="s">
        <v>74</v>
      </c>
      <c r="F69" s="110" t="s">
        <v>9</v>
      </c>
      <c r="G69" s="110" t="s">
        <v>10</v>
      </c>
      <c r="H69" s="59">
        <v>623</v>
      </c>
      <c r="I69" s="110" t="s">
        <v>5</v>
      </c>
      <c r="J69" s="47"/>
      <c r="K69" s="48">
        <v>15000</v>
      </c>
      <c r="L69" s="48">
        <v>1500</v>
      </c>
      <c r="M69" s="48">
        <v>1000</v>
      </c>
      <c r="N69" s="48">
        <v>4000</v>
      </c>
      <c r="O69" s="48">
        <v>500</v>
      </c>
      <c r="P69" s="48">
        <v>0</v>
      </c>
      <c r="Q69" s="48">
        <v>0</v>
      </c>
      <c r="R69" s="48">
        <v>0</v>
      </c>
      <c r="S69" s="48">
        <v>0</v>
      </c>
      <c r="T69" s="48">
        <v>0</v>
      </c>
      <c r="U69" s="48">
        <v>0</v>
      </c>
      <c r="V69" s="48">
        <v>0</v>
      </c>
      <c r="W69" s="48">
        <v>0</v>
      </c>
      <c r="X69" s="48">
        <v>0</v>
      </c>
      <c r="Y69" s="48">
        <v>0</v>
      </c>
      <c r="Z69" s="48">
        <v>0</v>
      </c>
      <c r="AA69" s="48">
        <v>0</v>
      </c>
      <c r="AB69" s="41">
        <f>K69+L69+M69+N69+O69+P69+Q69+R69+T69</f>
        <v>22000</v>
      </c>
      <c r="AC69" s="41">
        <f>AB69+AA69+Z69+Y69+X69+V69+U69</f>
        <v>22000</v>
      </c>
      <c r="AD69" s="48">
        <v>27</v>
      </c>
      <c r="AE69" s="48">
        <v>0</v>
      </c>
      <c r="AF69" s="48">
        <v>0</v>
      </c>
      <c r="AG69" s="48">
        <v>0</v>
      </c>
      <c r="AH69" s="48">
        <v>0</v>
      </c>
      <c r="AI69" s="48">
        <v>0</v>
      </c>
      <c r="AJ69" s="43">
        <f>AD69+AE69</f>
        <v>27</v>
      </c>
      <c r="AK69" s="41">
        <f>AJ69*AN69</f>
        <v>8100</v>
      </c>
      <c r="AL69" s="41">
        <f>AK69+AI69+AH69+AG69+AF69</f>
        <v>8100</v>
      </c>
      <c r="AM69" s="41">
        <f>AL69+AC69</f>
        <v>30100</v>
      </c>
      <c r="AN69" s="49">
        <v>300</v>
      </c>
      <c r="AO69" s="48">
        <v>105</v>
      </c>
      <c r="AP69" s="48"/>
      <c r="AQ69" s="48">
        <v>0</v>
      </c>
      <c r="AR69" s="48">
        <v>0</v>
      </c>
      <c r="AS69" s="48">
        <v>0</v>
      </c>
      <c r="AT69" s="48">
        <v>0</v>
      </c>
      <c r="AU69" s="48">
        <v>0</v>
      </c>
      <c r="AV69" s="49">
        <v>17</v>
      </c>
      <c r="AW69" s="48">
        <v>132</v>
      </c>
      <c r="AX69" s="40">
        <f>AV69*AW69</f>
        <v>2244</v>
      </c>
      <c r="AY69" s="48"/>
      <c r="AZ69" s="48"/>
      <c r="BA69" s="48"/>
      <c r="BB69" s="12">
        <f>AO69+AP69</f>
        <v>105</v>
      </c>
      <c r="BC69" s="41">
        <f>(BB69+AJ69)*AN69+AQ69</f>
        <v>39600</v>
      </c>
      <c r="BD69" s="46">
        <f>BC69+AB69</f>
        <v>61600</v>
      </c>
      <c r="BE69" s="46">
        <f>(BC69+BA69+AY69+AT69)+(AI69+AH69+AC69)+AX69+AZ69+AS69+AR69+AG69+AF69</f>
        <v>63844</v>
      </c>
      <c r="BF69" s="50">
        <f>AV69+AN69</f>
        <v>317</v>
      </c>
      <c r="BH69" s="45">
        <v>0</v>
      </c>
      <c r="BI69" s="45">
        <v>0</v>
      </c>
      <c r="BJ69" s="45">
        <v>0</v>
      </c>
      <c r="BK69" s="45">
        <v>0</v>
      </c>
      <c r="BL69" s="45">
        <v>0</v>
      </c>
      <c r="BM69" s="45">
        <v>0</v>
      </c>
      <c r="BN69" s="45">
        <v>0</v>
      </c>
      <c r="BO69" s="243">
        <f>AP69*AO69</f>
        <v>0</v>
      </c>
      <c r="BP69" s="86"/>
      <c r="BQ69" s="371"/>
      <c r="BR69" s="371"/>
      <c r="BS69" s="371"/>
      <c r="BT69" s="371"/>
      <c r="BU69" s="371"/>
      <c r="BV69" s="371"/>
      <c r="BW69" s="371"/>
      <c r="BX69" s="371"/>
      <c r="BY69" s="371"/>
      <c r="BZ69" s="371"/>
      <c r="CA69" s="371"/>
      <c r="CB69" s="371"/>
      <c r="CC69" s="371"/>
      <c r="CD69" s="371"/>
      <c r="CE69" s="371"/>
      <c r="CF69" s="371"/>
      <c r="CG69" s="244">
        <f>SUM(BR69:CF69)</f>
        <v>0</v>
      </c>
    </row>
    <row r="70" spans="1:85" s="35" customFormat="1" x14ac:dyDescent="0.25">
      <c r="A70" s="30">
        <v>69</v>
      </c>
      <c r="B70" s="112">
        <v>46003</v>
      </c>
      <c r="C70" s="110" t="s">
        <v>157</v>
      </c>
      <c r="D70" s="110" t="s">
        <v>125</v>
      </c>
      <c r="E70" s="110" t="s">
        <v>11</v>
      </c>
      <c r="F70" s="110" t="s">
        <v>9</v>
      </c>
      <c r="G70" s="110" t="s">
        <v>10</v>
      </c>
      <c r="H70" s="59">
        <v>588</v>
      </c>
      <c r="I70" s="110" t="s">
        <v>5</v>
      </c>
      <c r="J70" s="47"/>
      <c r="K70" s="48">
        <f>27530+2000</f>
        <v>29530</v>
      </c>
      <c r="L70" s="48">
        <v>3000</v>
      </c>
      <c r="M70" s="48">
        <v>2000</v>
      </c>
      <c r="N70" s="48">
        <f>3500+2000</f>
        <v>5500</v>
      </c>
      <c r="O70" s="48">
        <v>2970</v>
      </c>
      <c r="P70" s="48">
        <v>0</v>
      </c>
      <c r="Q70" s="48">
        <v>0</v>
      </c>
      <c r="R70" s="48">
        <v>0</v>
      </c>
      <c r="S70" s="48">
        <v>0</v>
      </c>
      <c r="T70" s="48">
        <v>0</v>
      </c>
      <c r="U70" s="48">
        <v>0</v>
      </c>
      <c r="V70" s="48">
        <v>950</v>
      </c>
      <c r="W70" s="48">
        <v>0</v>
      </c>
      <c r="X70" s="48">
        <v>0</v>
      </c>
      <c r="Y70" s="48">
        <v>0</v>
      </c>
      <c r="Z70" s="48">
        <v>0</v>
      </c>
      <c r="AA70" s="48">
        <v>4000</v>
      </c>
      <c r="AB70" s="41">
        <f>K70+L70+M70+N70+O70+P70+Q70+R70+T70</f>
        <v>43000</v>
      </c>
      <c r="AC70" s="41">
        <f>AB70+AA70+Z70+Y70+X70+V70+U70</f>
        <v>47950</v>
      </c>
      <c r="AD70" s="48">
        <v>35</v>
      </c>
      <c r="AE70" s="48">
        <v>40</v>
      </c>
      <c r="AF70" s="48">
        <v>0</v>
      </c>
      <c r="AG70" s="48">
        <v>0</v>
      </c>
      <c r="AH70" s="48">
        <v>0</v>
      </c>
      <c r="AI70" s="48">
        <v>0</v>
      </c>
      <c r="AJ70" s="201">
        <f>AD70+AE70</f>
        <v>75</v>
      </c>
      <c r="AK70" s="41">
        <f>AJ70*AN70</f>
        <v>36000</v>
      </c>
      <c r="AL70" s="41">
        <f>AK70+AI70+AH70+AG70+AF70</f>
        <v>36000</v>
      </c>
      <c r="AM70" s="41">
        <f>AL70+AC70</f>
        <v>83950</v>
      </c>
      <c r="AN70" s="49">
        <v>480</v>
      </c>
      <c r="AO70" s="48">
        <v>125</v>
      </c>
      <c r="AP70" s="48">
        <v>12</v>
      </c>
      <c r="AQ70" s="48"/>
      <c r="AR70" s="48"/>
      <c r="AS70" s="48"/>
      <c r="AT70" s="48"/>
      <c r="AU70" s="48">
        <f>65*73+11664</f>
        <v>16409</v>
      </c>
      <c r="AV70" s="49">
        <f>12+162</f>
        <v>174</v>
      </c>
      <c r="AW70" s="48">
        <v>212</v>
      </c>
      <c r="AX70" s="40">
        <f>AV70*AW70</f>
        <v>36888</v>
      </c>
      <c r="AY70" s="48"/>
      <c r="AZ70" s="48"/>
      <c r="BA70" s="48"/>
      <c r="BB70" s="12">
        <f>AO70+AP70</f>
        <v>137</v>
      </c>
      <c r="BC70" s="41">
        <f>(BB70+AJ70)*AN70+AQ70</f>
        <v>101760</v>
      </c>
      <c r="BD70" s="46">
        <f>BC70+AB70</f>
        <v>144760</v>
      </c>
      <c r="BE70" s="46">
        <f>(BC70+BA70+AY70+AT70)+(AI70+AH70+AC70)+AX70+AZ70+AS70+AR70+AG70+AF70+AU70</f>
        <v>203007</v>
      </c>
      <c r="BF70" s="50">
        <f>AV70+AN70</f>
        <v>654</v>
      </c>
      <c r="BH70" s="243">
        <v>0</v>
      </c>
      <c r="BI70" s="243">
        <v>0</v>
      </c>
      <c r="BJ70" s="243" t="e">
        <f>#REF!*10%</f>
        <v>#REF!</v>
      </c>
      <c r="BK70" s="243">
        <v>0</v>
      </c>
      <c r="BL70" s="243">
        <v>0</v>
      </c>
      <c r="BM70" s="243">
        <v>0</v>
      </c>
      <c r="BN70" s="243">
        <v>0</v>
      </c>
      <c r="BO70" s="243">
        <f>AP70*AO70</f>
        <v>1500</v>
      </c>
      <c r="BP70" s="86"/>
      <c r="BQ70" s="371"/>
      <c r="BR70" s="371"/>
      <c r="BS70" s="371"/>
      <c r="BT70" s="371"/>
      <c r="BU70" s="371"/>
      <c r="BV70" s="371"/>
      <c r="BW70" s="371"/>
      <c r="BX70" s="371"/>
      <c r="BY70" s="371"/>
      <c r="BZ70" s="371"/>
      <c r="CA70" s="371"/>
      <c r="CB70" s="371"/>
      <c r="CC70" s="371"/>
      <c r="CD70" s="371"/>
      <c r="CE70" s="371"/>
      <c r="CF70" s="371"/>
      <c r="CG70" s="244">
        <f>SUM(BR70:CF70)</f>
        <v>0</v>
      </c>
    </row>
    <row r="71" spans="1:85" s="35" customFormat="1" x14ac:dyDescent="0.25">
      <c r="A71" s="30">
        <v>70</v>
      </c>
      <c r="B71" s="232">
        <v>46007</v>
      </c>
      <c r="C71" s="183" t="s">
        <v>475</v>
      </c>
      <c r="D71" s="183" t="s">
        <v>476</v>
      </c>
      <c r="E71" s="183" t="s">
        <v>11</v>
      </c>
      <c r="F71" s="260" t="s">
        <v>15</v>
      </c>
      <c r="G71" s="183" t="s">
        <v>10</v>
      </c>
      <c r="H71" s="183">
        <v>781</v>
      </c>
      <c r="I71" s="183" t="s">
        <v>5</v>
      </c>
      <c r="J71" s="183"/>
      <c r="K71" s="183">
        <v>6000</v>
      </c>
      <c r="L71" s="183">
        <v>0</v>
      </c>
      <c r="M71" s="183">
        <v>0</v>
      </c>
      <c r="N71" s="183">
        <f>5250+2500</f>
        <v>7750</v>
      </c>
      <c r="O71" s="183">
        <v>660</v>
      </c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1">
        <f>K71+L71+M71+N71+O71+P71+Q71+R71+T71</f>
        <v>14410</v>
      </c>
      <c r="AC71" s="208">
        <f>AB71+AA71+Z71+Y71+X71+V71+U71</f>
        <v>14410</v>
      </c>
      <c r="AD71" s="183">
        <v>0</v>
      </c>
      <c r="AE71" s="183"/>
      <c r="AF71" s="183"/>
      <c r="AG71" s="183"/>
      <c r="AH71" s="183"/>
      <c r="AI71" s="183"/>
      <c r="AJ71" s="201">
        <f>AD71+AE71</f>
        <v>0</v>
      </c>
      <c r="AK71" s="11">
        <f>AJ71*AN71</f>
        <v>0</v>
      </c>
      <c r="AL71" s="11">
        <f>AK71+AI71+AH71+AG71+AF71</f>
        <v>0</v>
      </c>
      <c r="AM71" s="208">
        <f>AL71+AC71</f>
        <v>14410</v>
      </c>
      <c r="AN71" s="209">
        <v>250</v>
      </c>
      <c r="AO71" s="183">
        <v>43</v>
      </c>
      <c r="AP71" s="183"/>
      <c r="AQ71" s="183">
        <v>1500</v>
      </c>
      <c r="AR71" s="183"/>
      <c r="AS71" s="183"/>
      <c r="AT71" s="183"/>
      <c r="AU71" s="183"/>
      <c r="AV71" s="183"/>
      <c r="AW71" s="183"/>
      <c r="AX71" s="181">
        <f>AV71*AW71</f>
        <v>0</v>
      </c>
      <c r="AY71" s="183"/>
      <c r="AZ71" s="183"/>
      <c r="BA71" s="183"/>
      <c r="BB71" s="12">
        <f>AO71+AP71</f>
        <v>43</v>
      </c>
      <c r="BC71" s="208">
        <f>(BB71+AJ71)*AN71+AQ71</f>
        <v>12250</v>
      </c>
      <c r="BD71" s="14">
        <f>BC71+AB71</f>
        <v>26660</v>
      </c>
      <c r="BE71" s="202">
        <f>(BC71+BA71+AY71+AT71)+(AI71+AH71+AC71)+AX71+AZ71+AS71+AR71+AG71+AF71</f>
        <v>26660</v>
      </c>
      <c r="BF71" s="183"/>
      <c r="BG71" s="212"/>
      <c r="BH71" s="212"/>
      <c r="BI71" s="212"/>
      <c r="BJ71" s="212"/>
      <c r="BK71" s="212"/>
      <c r="BL71" s="212"/>
      <c r="BM71" s="212"/>
      <c r="BN71" s="212"/>
      <c r="BO71" s="212"/>
      <c r="BP71" s="212"/>
      <c r="BQ71" s="212"/>
      <c r="BR71" s="212"/>
      <c r="BS71" s="212"/>
      <c r="BT71" s="212"/>
      <c r="BU71" s="212"/>
      <c r="BV71" s="212"/>
      <c r="BW71" s="212"/>
      <c r="BX71" s="212"/>
      <c r="BY71" s="212"/>
      <c r="BZ71" s="212"/>
      <c r="CA71" s="212"/>
      <c r="CB71" s="212"/>
      <c r="CC71" s="212"/>
      <c r="CD71" s="212"/>
      <c r="CE71" s="212"/>
      <c r="CF71" s="212"/>
      <c r="CG71" s="212"/>
    </row>
    <row r="72" spans="1:85" s="35" customFormat="1" x14ac:dyDescent="0.25">
      <c r="A72" s="30">
        <v>71</v>
      </c>
      <c r="B72" s="249">
        <v>46007</v>
      </c>
      <c r="C72" s="250" t="s">
        <v>158</v>
      </c>
      <c r="D72" s="250" t="s">
        <v>159</v>
      </c>
      <c r="E72" s="250" t="s">
        <v>74</v>
      </c>
      <c r="F72" s="250" t="s">
        <v>9</v>
      </c>
      <c r="G72" s="250" t="s">
        <v>10</v>
      </c>
      <c r="H72" s="251">
        <v>630</v>
      </c>
      <c r="I72" s="250" t="s">
        <v>5</v>
      </c>
      <c r="J72" s="195"/>
      <c r="K72" s="178">
        <v>12000</v>
      </c>
      <c r="L72" s="178">
        <v>0</v>
      </c>
      <c r="M72" s="178">
        <v>0</v>
      </c>
      <c r="N72" s="178">
        <v>4800</v>
      </c>
      <c r="O72" s="178">
        <v>2800</v>
      </c>
      <c r="P72" s="178">
        <v>0</v>
      </c>
      <c r="Q72" s="178">
        <v>0</v>
      </c>
      <c r="R72" s="178">
        <v>0</v>
      </c>
      <c r="S72" s="178">
        <v>0</v>
      </c>
      <c r="T72" s="178">
        <v>0</v>
      </c>
      <c r="U72" s="178">
        <v>0</v>
      </c>
      <c r="V72" s="178">
        <v>0</v>
      </c>
      <c r="W72" s="178">
        <v>0</v>
      </c>
      <c r="X72" s="178">
        <v>0</v>
      </c>
      <c r="Y72" s="178">
        <v>0</v>
      </c>
      <c r="Z72" s="178">
        <v>0</v>
      </c>
      <c r="AA72" s="178">
        <v>0</v>
      </c>
      <c r="AB72" s="252">
        <f>K72+L72+M72+N72+O72+P72+Q72+R72+T72</f>
        <v>19600</v>
      </c>
      <c r="AC72" s="253">
        <f>AB72+AA72+Z72+Y72+X72+V72+U72</f>
        <v>19600</v>
      </c>
      <c r="AD72" s="178">
        <v>27</v>
      </c>
      <c r="AE72" s="178">
        <v>0</v>
      </c>
      <c r="AF72" s="178">
        <v>0</v>
      </c>
      <c r="AG72" s="178">
        <v>0</v>
      </c>
      <c r="AH72" s="178">
        <v>0</v>
      </c>
      <c r="AI72" s="178">
        <v>0</v>
      </c>
      <c r="AJ72" s="254">
        <f>AD72+AE72</f>
        <v>27</v>
      </c>
      <c r="AK72" s="252">
        <f>AJ72*AN72</f>
        <v>6750</v>
      </c>
      <c r="AL72" s="252">
        <f>AK72+AI72+AH72+AG72+AF72</f>
        <v>6750</v>
      </c>
      <c r="AM72" s="253">
        <f>AL72+AC72</f>
        <v>26350</v>
      </c>
      <c r="AN72" s="255">
        <v>250</v>
      </c>
      <c r="AO72" s="178">
        <v>115</v>
      </c>
      <c r="AP72" s="178">
        <v>0</v>
      </c>
      <c r="AQ72" s="178">
        <v>0</v>
      </c>
      <c r="AR72" s="178">
        <v>0</v>
      </c>
      <c r="AS72" s="178">
        <v>0</v>
      </c>
      <c r="AT72" s="178">
        <v>0</v>
      </c>
      <c r="AU72" s="178">
        <v>0</v>
      </c>
      <c r="AV72" s="255">
        <v>0</v>
      </c>
      <c r="AW72" s="178">
        <v>0</v>
      </c>
      <c r="AX72" s="256">
        <f>AV72*AW72</f>
        <v>0</v>
      </c>
      <c r="AY72" s="178">
        <v>0</v>
      </c>
      <c r="AZ72" s="178">
        <v>0</v>
      </c>
      <c r="BA72" s="178">
        <v>0</v>
      </c>
      <c r="BB72" s="257">
        <f>AO72+AP72</f>
        <v>115</v>
      </c>
      <c r="BC72" s="253">
        <f>(BB72+AJ72)*AN72+AQ72</f>
        <v>35500</v>
      </c>
      <c r="BD72" s="258">
        <f>BC72+AB72</f>
        <v>55100</v>
      </c>
      <c r="BE72" s="259">
        <f>(BC72+BA72+AY72+AT72)+(AI72+AH72+AC72)+AX72+AZ72+AS72+AR72+AG72+AF72</f>
        <v>55100</v>
      </c>
      <c r="BF72" s="56">
        <f>AV72+AN72</f>
        <v>250</v>
      </c>
      <c r="BH72" s="239">
        <v>0</v>
      </c>
      <c r="BI72" s="239">
        <v>0</v>
      </c>
      <c r="BJ72" s="239">
        <v>0</v>
      </c>
      <c r="BK72" s="239">
        <v>0</v>
      </c>
      <c r="BL72" s="239">
        <v>0</v>
      </c>
      <c r="BM72" s="239">
        <v>0</v>
      </c>
      <c r="BN72" s="239">
        <v>0</v>
      </c>
      <c r="BO72" s="239">
        <f>AP72*AO72</f>
        <v>0</v>
      </c>
      <c r="BP72" s="86"/>
      <c r="BQ72" s="371"/>
      <c r="BR72" s="371"/>
      <c r="BS72" s="371"/>
      <c r="BT72" s="371"/>
      <c r="BU72" s="371"/>
      <c r="BV72" s="371"/>
      <c r="BW72" s="371"/>
      <c r="BX72" s="371"/>
      <c r="BY72" s="371"/>
      <c r="BZ72" s="371"/>
      <c r="CA72" s="371"/>
      <c r="CB72" s="371"/>
      <c r="CC72" s="371"/>
      <c r="CD72" s="371"/>
      <c r="CE72" s="371"/>
      <c r="CF72" s="371"/>
      <c r="CG72" s="241">
        <f>SUM(BR72:CF72)</f>
        <v>0</v>
      </c>
    </row>
    <row r="73" spans="1:85" x14ac:dyDescent="0.25">
      <c r="A73" s="247">
        <v>72</v>
      </c>
      <c r="B73" s="27">
        <v>46008</v>
      </c>
      <c r="C73" s="28" t="s">
        <v>160</v>
      </c>
      <c r="D73" s="28" t="s">
        <v>159</v>
      </c>
      <c r="E73" s="28" t="s">
        <v>74</v>
      </c>
      <c r="F73" s="28" t="s">
        <v>9</v>
      </c>
      <c r="G73" s="28" t="s">
        <v>10</v>
      </c>
      <c r="H73" s="109">
        <v>631</v>
      </c>
      <c r="I73" s="28" t="s">
        <v>5</v>
      </c>
      <c r="J73" s="198"/>
      <c r="K73" s="179">
        <v>12000</v>
      </c>
      <c r="L73" s="179">
        <v>0</v>
      </c>
      <c r="M73" s="179">
        <v>0</v>
      </c>
      <c r="N73" s="179">
        <v>4800</v>
      </c>
      <c r="O73" s="179">
        <v>2800</v>
      </c>
      <c r="P73" s="179">
        <v>0</v>
      </c>
      <c r="Q73" s="179">
        <v>0</v>
      </c>
      <c r="R73" s="179">
        <v>0</v>
      </c>
      <c r="S73" s="179">
        <v>0</v>
      </c>
      <c r="T73" s="179">
        <v>0</v>
      </c>
      <c r="U73" s="179">
        <v>0</v>
      </c>
      <c r="V73" s="179">
        <v>0</v>
      </c>
      <c r="W73" s="179">
        <v>0</v>
      </c>
      <c r="X73" s="179">
        <v>0</v>
      </c>
      <c r="Y73" s="179">
        <v>0</v>
      </c>
      <c r="Z73" s="179">
        <v>0</v>
      </c>
      <c r="AA73" s="179">
        <v>0</v>
      </c>
      <c r="AB73" s="11">
        <f>K73+L73+M73+N73+O73+P73+Q73+R73+T73</f>
        <v>19600</v>
      </c>
      <c r="AC73" s="208">
        <f>AB73+AA73+Z73+Y73+X73+V73+U73</f>
        <v>19600</v>
      </c>
      <c r="AD73" s="179">
        <v>27</v>
      </c>
      <c r="AE73" s="179">
        <v>0</v>
      </c>
      <c r="AF73" s="179">
        <v>0</v>
      </c>
      <c r="AG73" s="179">
        <v>0</v>
      </c>
      <c r="AH73" s="179">
        <v>0</v>
      </c>
      <c r="AI73" s="179">
        <v>0</v>
      </c>
      <c r="AJ73" s="201">
        <f>AD73+AE73</f>
        <v>27</v>
      </c>
      <c r="AK73" s="11">
        <f>AJ73*AN73</f>
        <v>8100</v>
      </c>
      <c r="AL73" s="11">
        <f>AK73+AI73+AH73+AG73+AF73</f>
        <v>8100</v>
      </c>
      <c r="AM73" s="208">
        <f>AL73+AC73</f>
        <v>27700</v>
      </c>
      <c r="AN73" s="211">
        <v>300</v>
      </c>
      <c r="AO73" s="179">
        <v>115</v>
      </c>
      <c r="AP73" s="179">
        <v>0</v>
      </c>
      <c r="AQ73" s="179">
        <v>0</v>
      </c>
      <c r="AR73" s="179">
        <v>0</v>
      </c>
      <c r="AS73" s="179">
        <v>0</v>
      </c>
      <c r="AT73" s="179">
        <v>0</v>
      </c>
      <c r="AU73" s="179">
        <v>0</v>
      </c>
      <c r="AV73" s="211">
        <v>0</v>
      </c>
      <c r="AW73" s="179">
        <v>0</v>
      </c>
      <c r="AX73" s="181">
        <f>AV73*AW73</f>
        <v>0</v>
      </c>
      <c r="AY73" s="179">
        <v>0</v>
      </c>
      <c r="AZ73" s="179">
        <v>0</v>
      </c>
      <c r="BA73" s="179">
        <v>0</v>
      </c>
      <c r="BB73" s="12">
        <f>AO73+AP73</f>
        <v>115</v>
      </c>
      <c r="BC73" s="208">
        <f>(BB73+AJ73)*AN73+AQ73</f>
        <v>42600</v>
      </c>
      <c r="BD73" s="14">
        <f>BC73+AB73</f>
        <v>62200</v>
      </c>
      <c r="BE73" s="202">
        <f>(BC73+BA73+AY73+AT73)+(AI73+AH73+AC73)+AX73+AZ73+AS73+AR73+AG73+AF73</f>
        <v>62200</v>
      </c>
      <c r="BF73" s="50">
        <f>AV73+AN73</f>
        <v>300</v>
      </c>
      <c r="BG73" s="39"/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f>AP73*AO73</f>
        <v>0</v>
      </c>
      <c r="BP73" s="35"/>
      <c r="BQ73" s="371"/>
      <c r="BR73" s="371"/>
      <c r="BS73" s="371"/>
      <c r="BT73" s="371"/>
      <c r="BU73" s="371"/>
      <c r="BV73" s="371"/>
      <c r="BW73" s="371"/>
      <c r="BX73" s="371"/>
      <c r="BY73" s="371"/>
      <c r="BZ73" s="371"/>
      <c r="CA73" s="371"/>
      <c r="CB73" s="371"/>
      <c r="CC73" s="371"/>
      <c r="CD73" s="371"/>
      <c r="CE73" s="371"/>
      <c r="CF73" s="371"/>
      <c r="CG73" s="241">
        <f>SUM(BR73:CF73)</f>
        <v>0</v>
      </c>
    </row>
    <row r="74" spans="1:85" x14ac:dyDescent="0.25">
      <c r="A74" s="248">
        <v>73</v>
      </c>
      <c r="B74" s="183"/>
      <c r="C74" s="183" t="s">
        <v>441</v>
      </c>
      <c r="D74" s="183" t="s">
        <v>440</v>
      </c>
      <c r="E74" s="183" t="s">
        <v>74</v>
      </c>
      <c r="F74" s="183" t="s">
        <v>90</v>
      </c>
      <c r="G74" s="183" t="s">
        <v>439</v>
      </c>
      <c r="H74" s="183">
        <v>718</v>
      </c>
      <c r="I74" s="183" t="s">
        <v>438</v>
      </c>
      <c r="J74" s="183"/>
      <c r="K74" s="183"/>
      <c r="L74" s="183"/>
      <c r="M74" s="183"/>
      <c r="N74" s="183">
        <v>7000</v>
      </c>
      <c r="O74" s="183"/>
      <c r="P74" s="183"/>
      <c r="Q74" s="183"/>
      <c r="R74" s="183">
        <v>268744.46000000002</v>
      </c>
      <c r="S74" s="183"/>
      <c r="T74" s="183"/>
      <c r="U74" s="183"/>
      <c r="V74" s="183"/>
      <c r="W74" s="183"/>
      <c r="X74" s="183"/>
      <c r="Y74" s="183"/>
      <c r="Z74" s="183"/>
      <c r="AA74" s="183"/>
      <c r="AB74" s="11">
        <f>K74+L74+M74+N74+O74+P74+Q74+R74+T74</f>
        <v>275744.46000000002</v>
      </c>
      <c r="AC74" s="208">
        <f>AB74+AA74+Z74+Y74+X74+V74+U74</f>
        <v>275744.46000000002</v>
      </c>
      <c r="AD74" s="183"/>
      <c r="AE74" s="183"/>
      <c r="AF74" s="183"/>
      <c r="AG74" s="183"/>
      <c r="AH74" s="183"/>
      <c r="AI74" s="183">
        <f>13437.9</f>
        <v>13437.9</v>
      </c>
      <c r="AJ74" s="201">
        <f>AD74+AE74</f>
        <v>0</v>
      </c>
      <c r="AK74" s="11">
        <f>AJ74*AN74</f>
        <v>0</v>
      </c>
      <c r="AL74" s="11">
        <f>AK74+AI74+AH74+AG74+AF74</f>
        <v>13437.9</v>
      </c>
      <c r="AM74" s="208">
        <f>AL74+AC74</f>
        <v>289182.36000000004</v>
      </c>
      <c r="AN74" s="211"/>
      <c r="AO74" s="183"/>
      <c r="AP74" s="183"/>
      <c r="AQ74" s="183"/>
      <c r="AR74" s="183"/>
      <c r="AS74" s="183"/>
      <c r="AT74" s="183"/>
      <c r="AU74" s="183"/>
      <c r="AV74" s="209"/>
      <c r="AW74" s="183"/>
      <c r="AX74" s="181">
        <f>AV74*AW74</f>
        <v>0</v>
      </c>
      <c r="AY74" s="183"/>
      <c r="AZ74" s="183"/>
      <c r="BA74" s="183"/>
      <c r="BB74" s="12">
        <f>AO74+AP74</f>
        <v>0</v>
      </c>
      <c r="BC74" s="208">
        <f>(BB74+AJ74)*AN74+AQ74</f>
        <v>0</v>
      </c>
      <c r="BD74" s="14">
        <f>BC74+AB74</f>
        <v>275744.46000000002</v>
      </c>
      <c r="BE74" s="202">
        <f>(BC74+BA74+AY74+AT74)+(AI74+AH74+AC74)+AX74+AZ74+AS74+AR74+AG74+AF74</f>
        <v>289182.36000000004</v>
      </c>
      <c r="BF74" s="50">
        <f>AV74+AN74</f>
        <v>0</v>
      </c>
      <c r="BG74" s="183"/>
      <c r="BH74" s="183"/>
      <c r="BI74" s="183"/>
      <c r="BJ74" s="183"/>
      <c r="BK74" s="183"/>
      <c r="BL74" s="183"/>
      <c r="BM74" s="183"/>
      <c r="BN74" s="183"/>
      <c r="BO74" s="10">
        <f>AP74*AO74</f>
        <v>0</v>
      </c>
      <c r="BP74" s="212"/>
      <c r="BQ74" s="376"/>
      <c r="BR74" s="376"/>
      <c r="BS74" s="376"/>
      <c r="BT74" s="376"/>
      <c r="BU74" s="376"/>
      <c r="BV74" s="376"/>
      <c r="BW74" s="376"/>
      <c r="BX74" s="376"/>
      <c r="BY74" s="376"/>
      <c r="BZ74" s="376"/>
      <c r="CA74" s="376"/>
      <c r="CB74" s="376"/>
      <c r="CC74" s="376"/>
      <c r="CD74" s="376"/>
      <c r="CE74" s="376"/>
      <c r="CF74" s="376"/>
      <c r="CG74" s="241">
        <f>SUM(BR74:CF74)</f>
        <v>0</v>
      </c>
    </row>
    <row r="75" spans="1:85" x14ac:dyDescent="0.25">
      <c r="A75" s="247">
        <v>74</v>
      </c>
      <c r="B75" s="232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1">
        <f>K75+L75+M75+N75+O75+P75+Q75+R75+T75</f>
        <v>0</v>
      </c>
      <c r="AC75" s="208">
        <f>AB75+AA75+Z75+Y75+X75+V75+U75</f>
        <v>0</v>
      </c>
      <c r="AD75" s="183"/>
      <c r="AE75" s="183"/>
      <c r="AF75" s="183"/>
      <c r="AG75" s="183"/>
      <c r="AH75" s="183"/>
      <c r="AI75" s="183"/>
      <c r="AJ75" s="201">
        <f>AD75+AE75</f>
        <v>0</v>
      </c>
      <c r="AK75" s="11">
        <f>AJ75*AN75</f>
        <v>0</v>
      </c>
      <c r="AL75" s="11">
        <f>AK75+AI75+AH75+AG75+AF75</f>
        <v>0</v>
      </c>
      <c r="AM75" s="208">
        <f>AL75+AC75</f>
        <v>0</v>
      </c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1">
        <f>AV75*AW75</f>
        <v>0</v>
      </c>
      <c r="AY75" s="183"/>
      <c r="AZ75" s="183"/>
      <c r="BA75" s="183"/>
      <c r="BB75" s="12">
        <f>AO75+AP75</f>
        <v>0</v>
      </c>
      <c r="BC75" s="208">
        <f>(BB75+AJ75)*AN75+AQ75</f>
        <v>0</v>
      </c>
      <c r="BD75" s="14">
        <f>BC75+AB75</f>
        <v>0</v>
      </c>
      <c r="BE75" s="202">
        <f>(BC75+BA75+AY75+AT75)+(AI75+AH75+AC75)+AX75+AZ75+AS75+AR75+AG75+AF75</f>
        <v>0</v>
      </c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</row>
    <row r="76" spans="1:85" x14ac:dyDescent="0.25">
      <c r="A76" s="247">
        <v>75</v>
      </c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1">
        <f>K76+L76+M76+N76+O76+P76+Q76+R76+T76</f>
        <v>0</v>
      </c>
      <c r="AC76" s="208">
        <f>AB76+AA76+Z76+Y76+X76+V76+U76</f>
        <v>0</v>
      </c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1">
        <f>AV76*AW76</f>
        <v>0</v>
      </c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</row>
    <row r="77" spans="1:85" x14ac:dyDescent="0.25">
      <c r="A77" s="247">
        <v>76</v>
      </c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1">
        <f>K77+L77+M77+N77+O77+P77+Q77+R77+T77</f>
        <v>0</v>
      </c>
      <c r="AC77" s="208">
        <f>AB77+AA77+Z77+Y77+X77+V77+U77</f>
        <v>0</v>
      </c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1">
        <f>AV77*AW77</f>
        <v>0</v>
      </c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</row>
    <row r="78" spans="1:85" x14ac:dyDescent="0.25">
      <c r="A78" s="247">
        <v>77</v>
      </c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1">
        <f>K78+L78+M78+N78+O78+P78+Q78+R78+T78</f>
        <v>0</v>
      </c>
      <c r="AC78" s="208">
        <f>AB78+AA78+Z78+Y78+X78+V78+U78</f>
        <v>0</v>
      </c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</row>
    <row r="79" spans="1:85" x14ac:dyDescent="0.25"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64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</row>
    <row r="80" spans="1:85" x14ac:dyDescent="0.25"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64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</row>
    <row r="81" spans="2:67" x14ac:dyDescent="0.25"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64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</row>
  </sheetData>
  <autoFilter ref="B1:CG1" xr:uid="{65A83143-1FB7-40A7-97CD-BDA0DEF42E8B}">
    <sortState ref="B2:CG78">
      <sortCondition ref="B1"/>
    </sortState>
  </autoFilter>
  <pageMargins left="0.23622047244094491" right="0.23622047244094491" top="0.74803149606299213" bottom="0.74803149606299213" header="0.31496062992125984" footer="0.31496062992125984"/>
  <pageSetup paperSize="9" scale="90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090D-22DD-49E8-BFA5-28ACE12444EC}">
  <dimension ref="A1:S112"/>
  <sheetViews>
    <sheetView topLeftCell="A52" zoomScale="66" zoomScaleNormal="66" workbookViewId="0">
      <selection activeCell="E81" sqref="E81"/>
    </sheetView>
  </sheetViews>
  <sheetFormatPr defaultColWidth="16.5703125" defaultRowHeight="15" x14ac:dyDescent="0.25"/>
  <cols>
    <col min="2" max="2" width="27" customWidth="1"/>
    <col min="4" max="4" width="17.5703125" bestFit="1" customWidth="1"/>
    <col min="6" max="7" width="17.5703125" bestFit="1" customWidth="1"/>
    <col min="11" max="13" width="17.5703125" bestFit="1" customWidth="1"/>
  </cols>
  <sheetData>
    <row r="1" spans="1:19" ht="18.75" x14ac:dyDescent="0.3">
      <c r="A1" s="357" t="s">
        <v>362</v>
      </c>
      <c r="B1" s="133">
        <v>45658</v>
      </c>
      <c r="C1" s="133">
        <v>45659</v>
      </c>
      <c r="D1" s="134">
        <v>45660</v>
      </c>
      <c r="E1" s="135">
        <v>45661</v>
      </c>
      <c r="F1" s="136">
        <v>45662</v>
      </c>
      <c r="G1" s="133">
        <v>45663</v>
      </c>
      <c r="H1" s="133">
        <v>45664</v>
      </c>
      <c r="I1" s="133">
        <v>45665</v>
      </c>
      <c r="J1" s="133">
        <v>45666</v>
      </c>
      <c r="K1" s="134">
        <v>45667</v>
      </c>
      <c r="L1" s="135">
        <v>45668</v>
      </c>
      <c r="M1" s="136">
        <v>45669</v>
      </c>
      <c r="N1" s="133">
        <v>45670</v>
      </c>
      <c r="O1" s="137">
        <v>45671</v>
      </c>
      <c r="P1" s="133">
        <v>45672</v>
      </c>
      <c r="Q1" s="138"/>
      <c r="R1" s="139"/>
      <c r="S1" s="139"/>
    </row>
    <row r="2" spans="1:19" ht="18.75" x14ac:dyDescent="0.3">
      <c r="A2" s="349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2"/>
      <c r="P2" s="138"/>
      <c r="Q2" s="138"/>
      <c r="R2" s="139"/>
      <c r="S2" s="139"/>
    </row>
    <row r="3" spans="1:19" ht="18.75" x14ac:dyDescent="0.3">
      <c r="A3" s="349"/>
      <c r="B3" s="133">
        <v>45673</v>
      </c>
      <c r="C3" s="134">
        <v>45674</v>
      </c>
      <c r="D3" s="135">
        <v>45675</v>
      </c>
      <c r="E3" s="143">
        <v>45676</v>
      </c>
      <c r="F3" s="133">
        <v>45677</v>
      </c>
      <c r="G3" s="133">
        <v>45678</v>
      </c>
      <c r="H3" s="133">
        <v>45679</v>
      </c>
      <c r="I3" s="133">
        <v>45680</v>
      </c>
      <c r="J3" s="134">
        <v>45681</v>
      </c>
      <c r="K3" s="135">
        <v>45682</v>
      </c>
      <c r="L3" s="136">
        <v>45683</v>
      </c>
      <c r="M3" s="133">
        <v>45684</v>
      </c>
      <c r="N3" s="133">
        <v>45685</v>
      </c>
      <c r="O3" s="144">
        <v>45686</v>
      </c>
      <c r="P3" s="133">
        <v>45321</v>
      </c>
      <c r="Q3" s="134">
        <v>45322</v>
      </c>
      <c r="R3" s="139"/>
      <c r="S3" s="139"/>
    </row>
    <row r="4" spans="1:19" ht="18.75" x14ac:dyDescent="0.3">
      <c r="A4" s="350"/>
      <c r="B4" s="140"/>
      <c r="C4" s="140"/>
      <c r="D4" s="140"/>
      <c r="E4" s="140"/>
      <c r="F4" s="140"/>
      <c r="G4" s="140"/>
      <c r="H4" s="146"/>
      <c r="I4" s="140"/>
      <c r="J4" s="171">
        <v>6000</v>
      </c>
      <c r="K4" s="171">
        <v>16200</v>
      </c>
      <c r="L4" s="140"/>
      <c r="M4" s="140"/>
      <c r="N4" s="140"/>
      <c r="O4" s="172"/>
      <c r="P4" s="138"/>
      <c r="Q4" s="138"/>
      <c r="R4" s="139"/>
      <c r="S4" s="139"/>
    </row>
    <row r="5" spans="1:19" ht="18.75" x14ac:dyDescent="0.3">
      <c r="A5" s="353" t="s">
        <v>363</v>
      </c>
      <c r="B5" s="354"/>
      <c r="C5" s="354"/>
      <c r="D5" s="355" t="s">
        <v>364</v>
      </c>
      <c r="E5" s="343"/>
      <c r="F5" s="344"/>
      <c r="G5" s="148" t="s">
        <v>365</v>
      </c>
      <c r="H5" s="148" t="s">
        <v>366</v>
      </c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8.75" x14ac:dyDescent="0.3">
      <c r="A6" s="346">
        <f>SUM(B2:P2,B4:Q4)</f>
        <v>22200</v>
      </c>
      <c r="B6" s="343"/>
      <c r="C6" s="344"/>
      <c r="D6" s="347">
        <v>126000</v>
      </c>
      <c r="E6" s="343"/>
      <c r="F6" s="344"/>
      <c r="G6" s="149">
        <f>A6*0.3</f>
        <v>6660</v>
      </c>
      <c r="H6" s="150">
        <f>A6/(D6+G6)</f>
        <v>0.16734509271822703</v>
      </c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</row>
    <row r="7" spans="1:19" ht="18.75" x14ac:dyDescent="0.3">
      <c r="A7" s="139"/>
      <c r="B7" s="139"/>
      <c r="C7" s="139"/>
      <c r="D7" s="139"/>
      <c r="E7" s="139"/>
      <c r="F7" s="139"/>
      <c r="G7" s="139"/>
      <c r="H7" s="151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</row>
    <row r="8" spans="1:19" ht="18.75" x14ac:dyDescent="0.3">
      <c r="A8" s="357" t="s">
        <v>367</v>
      </c>
      <c r="B8" s="135">
        <v>45689</v>
      </c>
      <c r="C8" s="136">
        <v>45690</v>
      </c>
      <c r="D8" s="133">
        <v>45691</v>
      </c>
      <c r="E8" s="133">
        <v>45692</v>
      </c>
      <c r="F8" s="133">
        <v>45693</v>
      </c>
      <c r="G8" s="133">
        <v>45694</v>
      </c>
      <c r="H8" s="134">
        <v>45695</v>
      </c>
      <c r="I8" s="135">
        <v>45696</v>
      </c>
      <c r="J8" s="136">
        <v>45697</v>
      </c>
      <c r="K8" s="133">
        <v>45698</v>
      </c>
      <c r="L8" s="133">
        <v>45699</v>
      </c>
      <c r="M8" s="133">
        <v>45700</v>
      </c>
      <c r="N8" s="133">
        <v>45701</v>
      </c>
      <c r="O8" s="134">
        <v>45702</v>
      </c>
      <c r="P8" s="135">
        <v>45703</v>
      </c>
      <c r="Q8" s="136"/>
      <c r="R8" s="139"/>
      <c r="S8" s="139"/>
    </row>
    <row r="9" spans="1:19" ht="18.75" x14ac:dyDescent="0.3">
      <c r="A9" s="349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39"/>
      <c r="Q9" s="139"/>
      <c r="R9" s="139"/>
      <c r="S9" s="139"/>
    </row>
    <row r="10" spans="1:19" ht="18.75" x14ac:dyDescent="0.3">
      <c r="A10" s="349"/>
      <c r="B10" s="136">
        <v>45704</v>
      </c>
      <c r="C10" s="133">
        <v>45705</v>
      </c>
      <c r="D10" s="133">
        <v>45706</v>
      </c>
      <c r="E10" s="133">
        <v>45707</v>
      </c>
      <c r="F10" s="133">
        <v>45708</v>
      </c>
      <c r="G10" s="134">
        <v>45709</v>
      </c>
      <c r="H10" s="135">
        <v>45710</v>
      </c>
      <c r="I10" s="136">
        <v>45711</v>
      </c>
      <c r="J10" s="133">
        <v>45712</v>
      </c>
      <c r="K10" s="133">
        <v>45713</v>
      </c>
      <c r="L10" s="133">
        <v>45714</v>
      </c>
      <c r="M10" s="133">
        <v>45715</v>
      </c>
      <c r="N10" s="134">
        <v>45716</v>
      </c>
      <c r="O10" s="133"/>
      <c r="P10" s="133"/>
      <c r="Q10" s="133"/>
      <c r="R10" s="139"/>
      <c r="S10" s="139"/>
    </row>
    <row r="11" spans="1:19" ht="18.75" x14ac:dyDescent="0.3">
      <c r="A11" s="350"/>
      <c r="B11" s="140"/>
      <c r="C11" s="140"/>
      <c r="D11" s="140"/>
      <c r="E11" s="140"/>
      <c r="F11" s="171">
        <v>15445.7</v>
      </c>
      <c r="G11" s="171">
        <v>25000</v>
      </c>
      <c r="H11" s="173">
        <v>30000</v>
      </c>
      <c r="I11" s="140"/>
      <c r="J11" s="140"/>
      <c r="K11" s="140"/>
      <c r="L11" s="140"/>
      <c r="M11" s="140"/>
      <c r="N11" s="140"/>
      <c r="O11" s="139"/>
      <c r="P11" s="139"/>
      <c r="Q11" s="139"/>
      <c r="R11" s="139"/>
      <c r="S11" s="139"/>
    </row>
    <row r="12" spans="1:19" ht="18.75" x14ac:dyDescent="0.3">
      <c r="A12" s="358" t="s">
        <v>363</v>
      </c>
      <c r="B12" s="343"/>
      <c r="C12" s="344"/>
      <c r="D12" s="355" t="s">
        <v>364</v>
      </c>
      <c r="E12" s="343"/>
      <c r="F12" s="344"/>
      <c r="G12" s="148" t="s">
        <v>365</v>
      </c>
      <c r="H12" s="148" t="s">
        <v>366</v>
      </c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</row>
    <row r="13" spans="1:19" ht="18.75" x14ac:dyDescent="0.3">
      <c r="A13" s="346">
        <f>SUM(B9:P9,B11:Q11)</f>
        <v>70445.7</v>
      </c>
      <c r="B13" s="343"/>
      <c r="C13" s="344"/>
      <c r="D13" s="347">
        <v>126000</v>
      </c>
      <c r="E13" s="343"/>
      <c r="F13" s="344"/>
      <c r="G13" s="149">
        <f>A13*0.3</f>
        <v>21133.71</v>
      </c>
      <c r="H13" s="150">
        <f>A13/(D13+G13)</f>
        <v>0.47878694827990131</v>
      </c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</row>
    <row r="14" spans="1:19" ht="18.75" x14ac:dyDescent="0.3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</row>
    <row r="15" spans="1:19" ht="18.75" x14ac:dyDescent="0.3">
      <c r="A15" s="357" t="s">
        <v>368</v>
      </c>
      <c r="B15" s="135">
        <v>45717</v>
      </c>
      <c r="C15" s="136">
        <v>45718</v>
      </c>
      <c r="D15" s="133">
        <v>45719</v>
      </c>
      <c r="E15" s="133">
        <v>45720</v>
      </c>
      <c r="F15" s="133">
        <v>45721</v>
      </c>
      <c r="G15" s="133">
        <v>45722</v>
      </c>
      <c r="H15" s="134">
        <v>45723</v>
      </c>
      <c r="I15" s="135">
        <v>45724</v>
      </c>
      <c r="J15" s="136">
        <v>45725</v>
      </c>
      <c r="K15" s="133">
        <v>45726</v>
      </c>
      <c r="L15" s="133">
        <v>45727</v>
      </c>
      <c r="M15" s="133">
        <v>45728</v>
      </c>
      <c r="N15" s="133">
        <v>45729</v>
      </c>
      <c r="O15" s="134">
        <v>45730</v>
      </c>
      <c r="P15" s="135">
        <v>45731</v>
      </c>
      <c r="Q15" s="136"/>
      <c r="R15" s="139"/>
      <c r="S15" s="139"/>
    </row>
    <row r="16" spans="1:19" ht="18.75" x14ac:dyDescent="0.3">
      <c r="A16" s="349"/>
      <c r="B16" s="140">
        <v>24000</v>
      </c>
      <c r="C16" s="140"/>
      <c r="D16" s="140"/>
      <c r="E16" s="140"/>
      <c r="F16" s="140"/>
      <c r="G16" s="140"/>
      <c r="H16" s="140"/>
      <c r="I16" s="140">
        <v>39733.65</v>
      </c>
      <c r="J16" s="140"/>
      <c r="K16" s="140"/>
      <c r="L16" s="140"/>
      <c r="M16" s="140"/>
      <c r="N16" s="140"/>
      <c r="O16" s="140"/>
      <c r="P16" s="140">
        <v>39733.65</v>
      </c>
      <c r="Q16" s="139"/>
      <c r="R16" s="139"/>
      <c r="S16" s="139"/>
    </row>
    <row r="17" spans="1:19" ht="18.75" x14ac:dyDescent="0.3">
      <c r="A17" s="349"/>
      <c r="B17" s="136">
        <v>45732</v>
      </c>
      <c r="C17" s="133">
        <v>45733</v>
      </c>
      <c r="D17" s="133">
        <v>45734</v>
      </c>
      <c r="E17" s="133">
        <v>45735</v>
      </c>
      <c r="F17" s="133">
        <v>45736</v>
      </c>
      <c r="G17" s="134">
        <v>45737</v>
      </c>
      <c r="H17" s="135">
        <v>45738</v>
      </c>
      <c r="I17" s="136">
        <v>45739</v>
      </c>
      <c r="J17" s="133">
        <v>45740</v>
      </c>
      <c r="K17" s="133">
        <v>45741</v>
      </c>
      <c r="L17" s="133">
        <v>45742</v>
      </c>
      <c r="M17" s="133">
        <v>45743</v>
      </c>
      <c r="N17" s="134">
        <v>45744</v>
      </c>
      <c r="O17" s="135">
        <v>45745</v>
      </c>
      <c r="P17" s="136">
        <v>45746</v>
      </c>
      <c r="Q17" s="133">
        <v>45747</v>
      </c>
      <c r="R17" s="139"/>
      <c r="S17" s="139"/>
    </row>
    <row r="18" spans="1:19" ht="18.75" x14ac:dyDescent="0.3">
      <c r="A18" s="350"/>
      <c r="B18" s="139"/>
      <c r="C18" s="140"/>
      <c r="D18" s="140">
        <v>13149.5</v>
      </c>
      <c r="E18" s="140"/>
      <c r="F18" s="140"/>
      <c r="G18" s="140"/>
      <c r="H18" s="146">
        <f>26800</f>
        <v>26800</v>
      </c>
      <c r="I18" s="140"/>
      <c r="J18" s="140">
        <v>0</v>
      </c>
      <c r="K18" s="140"/>
      <c r="L18" s="140"/>
      <c r="M18" s="140"/>
      <c r="N18" s="140">
        <f>15300</f>
        <v>15300</v>
      </c>
      <c r="O18" s="146">
        <v>29000</v>
      </c>
      <c r="P18" s="139"/>
      <c r="Q18" s="139"/>
      <c r="R18" s="139"/>
      <c r="S18" s="139"/>
    </row>
    <row r="19" spans="1:19" ht="18.75" x14ac:dyDescent="0.3">
      <c r="A19" s="353" t="s">
        <v>363</v>
      </c>
      <c r="B19" s="354"/>
      <c r="C19" s="354"/>
      <c r="D19" s="355" t="s">
        <v>364</v>
      </c>
      <c r="E19" s="343"/>
      <c r="F19" s="344"/>
      <c r="G19" s="148" t="s">
        <v>365</v>
      </c>
      <c r="H19" s="148" t="s">
        <v>366</v>
      </c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</row>
    <row r="20" spans="1:19" ht="18.75" x14ac:dyDescent="0.3">
      <c r="A20" s="346">
        <f>SUM(B16:P16,B18:Q18)</f>
        <v>187716.8</v>
      </c>
      <c r="B20" s="343"/>
      <c r="C20" s="344"/>
      <c r="D20" s="347">
        <v>126000</v>
      </c>
      <c r="E20" s="343"/>
      <c r="F20" s="344"/>
      <c r="G20" s="149">
        <f>A20*0.3</f>
        <v>56315.039999999994</v>
      </c>
      <c r="H20" s="150">
        <f>A20/(D20+G20)</f>
        <v>1.0296287130233468</v>
      </c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</row>
    <row r="21" spans="1:19" ht="18.75" x14ac:dyDescent="0.3">
      <c r="A21" s="139"/>
      <c r="B21" s="139">
        <f>33800/2</f>
        <v>16900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</row>
    <row r="22" spans="1:19" ht="18.75" x14ac:dyDescent="0.3">
      <c r="A22" s="357" t="s">
        <v>369</v>
      </c>
      <c r="B22" s="133">
        <v>45748</v>
      </c>
      <c r="C22" s="133">
        <v>45749</v>
      </c>
      <c r="D22" s="133">
        <v>45750</v>
      </c>
      <c r="E22" s="134">
        <v>45751</v>
      </c>
      <c r="F22" s="135">
        <v>45752</v>
      </c>
      <c r="G22" s="136">
        <v>45753</v>
      </c>
      <c r="H22" s="133">
        <v>45754</v>
      </c>
      <c r="I22" s="133">
        <v>45755</v>
      </c>
      <c r="J22" s="133">
        <v>45756</v>
      </c>
      <c r="K22" s="133">
        <v>45757</v>
      </c>
      <c r="L22" s="134">
        <v>45758</v>
      </c>
      <c r="M22" s="135">
        <v>45759</v>
      </c>
      <c r="N22" s="136">
        <v>45760</v>
      </c>
      <c r="O22" s="133">
        <v>45761</v>
      </c>
      <c r="P22" s="133">
        <v>45762</v>
      </c>
      <c r="Q22" s="139"/>
      <c r="R22" s="139"/>
      <c r="S22" s="139"/>
    </row>
    <row r="23" spans="1:19" ht="18.75" x14ac:dyDescent="0.3">
      <c r="A23" s="349"/>
      <c r="B23" s="140"/>
      <c r="C23" s="140"/>
      <c r="D23" s="140"/>
      <c r="E23" s="140"/>
      <c r="F23" s="140"/>
      <c r="G23" s="140"/>
      <c r="H23" s="140"/>
      <c r="I23" s="140"/>
      <c r="J23" s="140"/>
      <c r="K23" s="140">
        <v>20000</v>
      </c>
      <c r="L23" s="140">
        <v>0</v>
      </c>
      <c r="M23" s="140"/>
      <c r="N23" s="140"/>
      <c r="O23" s="140"/>
      <c r="P23" s="139"/>
      <c r="Q23" s="139"/>
      <c r="R23" s="139"/>
      <c r="S23" s="139"/>
    </row>
    <row r="24" spans="1:19" ht="18.75" x14ac:dyDescent="0.3">
      <c r="A24" s="349"/>
      <c r="B24" s="133">
        <v>45763</v>
      </c>
      <c r="C24" s="133">
        <v>45764</v>
      </c>
      <c r="D24" s="134">
        <v>45765</v>
      </c>
      <c r="E24" s="135">
        <v>45766</v>
      </c>
      <c r="F24" s="136">
        <v>45767</v>
      </c>
      <c r="G24" s="133">
        <v>45768</v>
      </c>
      <c r="H24" s="133">
        <v>45769</v>
      </c>
      <c r="I24" s="133">
        <v>45770</v>
      </c>
      <c r="J24" s="133">
        <v>45771</v>
      </c>
      <c r="K24" s="133">
        <v>45772</v>
      </c>
      <c r="L24" s="134">
        <v>45773</v>
      </c>
      <c r="M24" s="135">
        <v>45774</v>
      </c>
      <c r="N24" s="136">
        <v>45775</v>
      </c>
      <c r="O24" s="133">
        <v>45776</v>
      </c>
      <c r="P24" s="133">
        <v>45777</v>
      </c>
      <c r="Q24" s="133"/>
      <c r="R24" s="139"/>
      <c r="S24" s="139"/>
    </row>
    <row r="25" spans="1:19" ht="18.75" x14ac:dyDescent="0.3">
      <c r="A25" s="350"/>
      <c r="B25" s="140"/>
      <c r="C25" s="140"/>
      <c r="D25" s="140"/>
      <c r="E25" s="140">
        <v>33800</v>
      </c>
      <c r="F25" s="140"/>
      <c r="G25" s="140"/>
      <c r="H25" s="146"/>
      <c r="I25" s="140"/>
      <c r="J25" s="140"/>
      <c r="K25" s="140">
        <f>18630</f>
        <v>18630</v>
      </c>
      <c r="L25" s="140">
        <v>27104</v>
      </c>
      <c r="M25" s="140">
        <v>0</v>
      </c>
      <c r="N25" s="140"/>
      <c r="O25" s="146"/>
      <c r="P25" s="139"/>
      <c r="Q25" s="139"/>
      <c r="R25" s="139"/>
      <c r="S25" s="139"/>
    </row>
    <row r="26" spans="1:19" ht="18.75" x14ac:dyDescent="0.3">
      <c r="A26" s="353" t="s">
        <v>363</v>
      </c>
      <c r="B26" s="354"/>
      <c r="C26" s="354"/>
      <c r="D26" s="355" t="s">
        <v>364</v>
      </c>
      <c r="E26" s="343"/>
      <c r="F26" s="344"/>
      <c r="G26" s="148" t="s">
        <v>365</v>
      </c>
      <c r="H26" s="148" t="s">
        <v>366</v>
      </c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</row>
    <row r="27" spans="1:19" ht="18.75" x14ac:dyDescent="0.3">
      <c r="A27" s="346">
        <f>SUM(B23:P23,B25:Q25)</f>
        <v>99534</v>
      </c>
      <c r="B27" s="343"/>
      <c r="C27" s="344"/>
      <c r="D27" s="347">
        <v>126000</v>
      </c>
      <c r="E27" s="343"/>
      <c r="F27" s="344"/>
      <c r="G27" s="149">
        <f>A27*0.3</f>
        <v>29860.199999999997</v>
      </c>
      <c r="H27" s="150">
        <f>A27/(D27+G27)</f>
        <v>0.63861075502277032</v>
      </c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</row>
    <row r="28" spans="1:19" ht="18.75" x14ac:dyDescent="0.3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</row>
    <row r="29" spans="1:19" ht="18.75" x14ac:dyDescent="0.3">
      <c r="A29" s="357" t="s">
        <v>370</v>
      </c>
      <c r="B29" s="133">
        <v>45778</v>
      </c>
      <c r="C29" s="133">
        <v>45779</v>
      </c>
      <c r="D29" s="134">
        <v>45780</v>
      </c>
      <c r="E29" s="135">
        <v>45781</v>
      </c>
      <c r="F29" s="136">
        <v>45782</v>
      </c>
      <c r="G29" s="133">
        <v>45783</v>
      </c>
      <c r="H29" s="133">
        <v>45784</v>
      </c>
      <c r="I29" s="133">
        <v>45785</v>
      </c>
      <c r="J29" s="134">
        <v>45786</v>
      </c>
      <c r="K29" s="135">
        <v>45787</v>
      </c>
      <c r="L29" s="136">
        <v>45788</v>
      </c>
      <c r="M29" s="133">
        <v>45789</v>
      </c>
      <c r="N29" s="133">
        <v>45790</v>
      </c>
      <c r="O29" s="133">
        <v>45791</v>
      </c>
      <c r="P29" s="133">
        <v>45792</v>
      </c>
      <c r="Q29" s="139"/>
      <c r="R29" s="139"/>
      <c r="S29" s="139"/>
    </row>
    <row r="30" spans="1:19" ht="18.75" x14ac:dyDescent="0.3">
      <c r="A30" s="349"/>
      <c r="B30" s="140"/>
      <c r="C30" s="140"/>
      <c r="D30" s="140">
        <f>0</f>
        <v>0</v>
      </c>
      <c r="E30" s="140"/>
      <c r="F30" s="140"/>
      <c r="G30" s="140"/>
      <c r="H30" s="140"/>
      <c r="I30" s="140"/>
      <c r="J30" s="140"/>
      <c r="K30" s="140">
        <f>0</f>
        <v>0</v>
      </c>
      <c r="L30" s="140"/>
      <c r="M30" s="140"/>
      <c r="N30" s="140"/>
      <c r="O30" s="140"/>
      <c r="P30" s="139"/>
      <c r="Q30" s="139"/>
      <c r="R30" s="139"/>
      <c r="S30" s="139"/>
    </row>
    <row r="31" spans="1:19" ht="18.75" x14ac:dyDescent="0.3">
      <c r="A31" s="349"/>
      <c r="B31" s="134">
        <v>45793</v>
      </c>
      <c r="C31" s="135">
        <v>45794</v>
      </c>
      <c r="D31" s="136">
        <v>45795</v>
      </c>
      <c r="E31" s="133">
        <v>45796</v>
      </c>
      <c r="F31" s="133">
        <v>45797</v>
      </c>
      <c r="G31" s="133">
        <v>45798</v>
      </c>
      <c r="H31" s="133">
        <v>45799</v>
      </c>
      <c r="I31" s="134">
        <v>45800</v>
      </c>
      <c r="J31" s="135">
        <v>45801</v>
      </c>
      <c r="K31" s="136">
        <v>45802</v>
      </c>
      <c r="L31" s="133">
        <v>45803</v>
      </c>
      <c r="M31" s="133">
        <v>45804</v>
      </c>
      <c r="N31" s="133">
        <v>45805</v>
      </c>
      <c r="O31" s="133">
        <v>45806</v>
      </c>
      <c r="P31" s="174">
        <v>45807</v>
      </c>
      <c r="Q31" s="175">
        <v>45808</v>
      </c>
      <c r="R31" s="136"/>
      <c r="S31" s="139"/>
    </row>
    <row r="32" spans="1:19" ht="18.75" x14ac:dyDescent="0.3">
      <c r="A32" s="350"/>
      <c r="B32" s="140"/>
      <c r="C32" s="140"/>
      <c r="D32" s="140"/>
      <c r="E32" s="140"/>
      <c r="F32" s="140"/>
      <c r="G32" s="140"/>
      <c r="H32" s="146"/>
      <c r="I32" s="140"/>
      <c r="J32" s="140"/>
      <c r="K32" s="140"/>
      <c r="L32" s="140"/>
      <c r="M32" s="140"/>
      <c r="N32" s="140"/>
      <c r="O32" s="172"/>
      <c r="P32" s="176"/>
      <c r="Q32" s="176">
        <f>15000</f>
        <v>15000</v>
      </c>
      <c r="R32" s="139"/>
      <c r="S32" s="139"/>
    </row>
    <row r="33" spans="1:19" ht="18.75" x14ac:dyDescent="0.3">
      <c r="A33" s="353" t="s">
        <v>363</v>
      </c>
      <c r="B33" s="354"/>
      <c r="C33" s="354"/>
      <c r="D33" s="355" t="s">
        <v>364</v>
      </c>
      <c r="E33" s="343"/>
      <c r="F33" s="344"/>
      <c r="G33" s="148" t="s">
        <v>365</v>
      </c>
      <c r="H33" s="148" t="s">
        <v>366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</row>
    <row r="34" spans="1:19" ht="18.75" x14ac:dyDescent="0.3">
      <c r="A34" s="346">
        <f>SUM(B30:P30,B32:Q32)</f>
        <v>15000</v>
      </c>
      <c r="B34" s="343"/>
      <c r="C34" s="344"/>
      <c r="D34" s="347">
        <v>126000</v>
      </c>
      <c r="E34" s="343"/>
      <c r="F34" s="344"/>
      <c r="G34" s="149">
        <f>A34*0.3</f>
        <v>4500</v>
      </c>
      <c r="H34" s="150">
        <f>A34/(D34+G34)</f>
        <v>0.11494252873563218</v>
      </c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</row>
    <row r="35" spans="1:19" ht="18.75" x14ac:dyDescent="0.3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</row>
    <row r="36" spans="1:19" ht="18.75" x14ac:dyDescent="0.3">
      <c r="A36" s="357" t="s">
        <v>371</v>
      </c>
      <c r="B36" s="136">
        <v>45809</v>
      </c>
      <c r="C36" s="133">
        <v>45810</v>
      </c>
      <c r="D36" s="133">
        <v>45811</v>
      </c>
      <c r="E36" s="133">
        <v>45812</v>
      </c>
      <c r="F36" s="133">
        <v>45813</v>
      </c>
      <c r="G36" s="134">
        <v>45814</v>
      </c>
      <c r="H36" s="135">
        <v>45815</v>
      </c>
      <c r="I36" s="136">
        <v>45816</v>
      </c>
      <c r="J36" s="133">
        <v>45817</v>
      </c>
      <c r="K36" s="133">
        <v>45818</v>
      </c>
      <c r="L36" s="133">
        <v>45819</v>
      </c>
      <c r="M36" s="133">
        <v>45820</v>
      </c>
      <c r="N36" s="134">
        <v>45821</v>
      </c>
      <c r="O36" s="135">
        <v>45822</v>
      </c>
      <c r="P36" s="136">
        <v>45823</v>
      </c>
      <c r="Q36" s="139"/>
      <c r="R36" s="139"/>
      <c r="S36" s="139"/>
    </row>
    <row r="37" spans="1:19" ht="18.75" x14ac:dyDescent="0.3">
      <c r="A37" s="349"/>
      <c r="B37" s="140"/>
      <c r="C37" s="140"/>
      <c r="D37" s="140"/>
      <c r="E37" s="140"/>
      <c r="F37" s="140"/>
      <c r="G37" s="140"/>
      <c r="H37" s="140">
        <v>0</v>
      </c>
      <c r="I37" s="140"/>
      <c r="J37" s="140"/>
      <c r="K37" s="140"/>
      <c r="L37" s="140"/>
      <c r="M37" s="140">
        <f>20000</f>
        <v>20000</v>
      </c>
      <c r="N37" s="140"/>
      <c r="O37" s="140"/>
      <c r="P37" s="139"/>
      <c r="Q37" s="139"/>
      <c r="R37" s="139"/>
      <c r="S37" s="139"/>
    </row>
    <row r="38" spans="1:19" ht="18.75" x14ac:dyDescent="0.3">
      <c r="A38" s="349"/>
      <c r="B38" s="133">
        <v>45824</v>
      </c>
      <c r="C38" s="133">
        <v>45825</v>
      </c>
      <c r="D38" s="133">
        <v>45826</v>
      </c>
      <c r="E38" s="133">
        <v>45827</v>
      </c>
      <c r="F38" s="134">
        <v>45828</v>
      </c>
      <c r="G38" s="135">
        <v>45829</v>
      </c>
      <c r="H38" s="136">
        <v>45830</v>
      </c>
      <c r="I38" s="133">
        <v>45831</v>
      </c>
      <c r="J38" s="133">
        <v>45832</v>
      </c>
      <c r="K38" s="133">
        <v>45833</v>
      </c>
      <c r="L38" s="133">
        <v>45834</v>
      </c>
      <c r="M38" s="134">
        <v>45835</v>
      </c>
      <c r="N38" s="135">
        <v>45836</v>
      </c>
      <c r="O38" s="136">
        <v>45837</v>
      </c>
      <c r="P38" s="133">
        <v>45838</v>
      </c>
      <c r="Q38" s="133"/>
      <c r="R38" s="139"/>
      <c r="S38" s="139"/>
    </row>
    <row r="39" spans="1:19" ht="18.75" x14ac:dyDescent="0.3">
      <c r="A39" s="350"/>
      <c r="B39" s="140"/>
      <c r="C39" s="140">
        <f>16200</f>
        <v>16200</v>
      </c>
      <c r="D39" s="140"/>
      <c r="E39" s="140"/>
      <c r="F39" s="140">
        <v>33000</v>
      </c>
      <c r="G39" s="140"/>
      <c r="H39" s="146"/>
      <c r="I39" s="140"/>
      <c r="J39" s="140"/>
      <c r="K39" s="140"/>
      <c r="L39" s="140"/>
      <c r="M39" s="140"/>
      <c r="N39" s="140"/>
      <c r="O39" s="146"/>
      <c r="P39" s="139"/>
      <c r="Q39" s="139"/>
      <c r="R39" s="139"/>
      <c r="S39" s="139"/>
    </row>
    <row r="40" spans="1:19" ht="18.75" x14ac:dyDescent="0.3">
      <c r="A40" s="353" t="s">
        <v>363</v>
      </c>
      <c r="B40" s="354"/>
      <c r="C40" s="354"/>
      <c r="D40" s="355" t="s">
        <v>364</v>
      </c>
      <c r="E40" s="343"/>
      <c r="F40" s="344"/>
      <c r="G40" s="148" t="s">
        <v>365</v>
      </c>
      <c r="H40" s="148" t="s">
        <v>366</v>
      </c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</row>
    <row r="41" spans="1:19" ht="18.75" x14ac:dyDescent="0.3">
      <c r="A41" s="346">
        <f>SUM(B37:P37,B39:Q39)</f>
        <v>69200</v>
      </c>
      <c r="B41" s="343"/>
      <c r="C41" s="344"/>
      <c r="D41" s="356">
        <v>126000</v>
      </c>
      <c r="E41" s="343"/>
      <c r="F41" s="344"/>
      <c r="G41" s="149">
        <f>A41*0.3</f>
        <v>20760</v>
      </c>
      <c r="H41" s="150">
        <f>A41/(D41+G41)</f>
        <v>0.47151812482965388</v>
      </c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</row>
    <row r="42" spans="1:19" ht="18.75" x14ac:dyDescent="0.3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</row>
    <row r="43" spans="1:19" ht="18.75" x14ac:dyDescent="0.3">
      <c r="A43" s="357" t="s">
        <v>372</v>
      </c>
      <c r="B43" s="133">
        <v>45839</v>
      </c>
      <c r="C43" s="133">
        <v>45840</v>
      </c>
      <c r="D43" s="133">
        <v>45841</v>
      </c>
      <c r="E43" s="134">
        <v>45842</v>
      </c>
      <c r="F43" s="135">
        <v>45843</v>
      </c>
      <c r="G43" s="136">
        <v>45844</v>
      </c>
      <c r="H43" s="133">
        <v>45845</v>
      </c>
      <c r="I43" s="133">
        <v>45846</v>
      </c>
      <c r="J43" s="133">
        <v>45847</v>
      </c>
      <c r="K43" s="133">
        <v>45848</v>
      </c>
      <c r="L43" s="134">
        <v>45849</v>
      </c>
      <c r="M43" s="135">
        <v>45850</v>
      </c>
      <c r="N43" s="136">
        <v>45851</v>
      </c>
      <c r="O43" s="133">
        <v>45852</v>
      </c>
      <c r="P43" s="133">
        <v>45853</v>
      </c>
      <c r="Q43" s="139"/>
      <c r="R43" s="139"/>
      <c r="S43" s="139"/>
    </row>
    <row r="44" spans="1:19" ht="18.75" x14ac:dyDescent="0.3">
      <c r="A44" s="349"/>
      <c r="B44" s="140"/>
      <c r="C44" s="140"/>
      <c r="D44" s="140"/>
      <c r="E44" s="140"/>
      <c r="F44" s="140">
        <f>50000</f>
        <v>50000</v>
      </c>
      <c r="G44" s="140"/>
      <c r="H44" s="140"/>
      <c r="I44" s="140"/>
      <c r="J44" s="140"/>
      <c r="K44" s="140"/>
      <c r="L44" s="140"/>
      <c r="M44" s="140">
        <f>18000</f>
        <v>18000</v>
      </c>
      <c r="N44" s="140"/>
      <c r="O44" s="140"/>
      <c r="P44" s="139"/>
      <c r="Q44" s="139"/>
      <c r="R44" s="139"/>
      <c r="S44" s="139"/>
    </row>
    <row r="45" spans="1:19" ht="18.75" x14ac:dyDescent="0.3">
      <c r="A45" s="349"/>
      <c r="B45" s="133">
        <v>45854</v>
      </c>
      <c r="C45" s="133">
        <v>45855</v>
      </c>
      <c r="D45" s="134">
        <v>45856</v>
      </c>
      <c r="E45" s="135">
        <v>45857</v>
      </c>
      <c r="F45" s="136">
        <v>45858</v>
      </c>
      <c r="G45" s="133">
        <v>45859</v>
      </c>
      <c r="H45" s="133">
        <v>45860</v>
      </c>
      <c r="I45" s="133">
        <v>45861</v>
      </c>
      <c r="J45" s="133">
        <v>45862</v>
      </c>
      <c r="K45" s="134">
        <v>45863</v>
      </c>
      <c r="L45" s="135">
        <v>45864</v>
      </c>
      <c r="M45" s="136">
        <v>45865</v>
      </c>
      <c r="N45" s="133">
        <v>45866</v>
      </c>
      <c r="O45" s="133">
        <v>45867</v>
      </c>
      <c r="P45" s="133">
        <v>45868</v>
      </c>
      <c r="Q45" s="133">
        <v>45869</v>
      </c>
      <c r="R45" s="139"/>
      <c r="S45" s="139"/>
    </row>
    <row r="46" spans="1:19" ht="18.75" x14ac:dyDescent="0.3">
      <c r="A46" s="350"/>
      <c r="B46" s="140"/>
      <c r="C46" s="140"/>
      <c r="D46" s="140"/>
      <c r="E46" s="140"/>
      <c r="F46" s="140"/>
      <c r="G46" s="140"/>
      <c r="H46" s="146"/>
      <c r="I46" s="140"/>
      <c r="J46" s="140"/>
      <c r="K46" s="140">
        <f>18000</f>
        <v>18000</v>
      </c>
      <c r="L46" s="140">
        <v>12000</v>
      </c>
      <c r="M46" s="140"/>
      <c r="N46" s="140"/>
      <c r="O46" s="146"/>
      <c r="P46" s="139"/>
      <c r="Q46" s="139"/>
      <c r="R46" s="139"/>
      <c r="S46" s="139"/>
    </row>
    <row r="47" spans="1:19" ht="18.75" x14ac:dyDescent="0.3">
      <c r="A47" s="353" t="s">
        <v>363</v>
      </c>
      <c r="B47" s="354"/>
      <c r="C47" s="354"/>
      <c r="D47" s="355" t="s">
        <v>364</v>
      </c>
      <c r="E47" s="343"/>
      <c r="F47" s="344"/>
      <c r="G47" s="148" t="s">
        <v>365</v>
      </c>
      <c r="H47" s="148" t="s">
        <v>366</v>
      </c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</row>
    <row r="48" spans="1:19" ht="18.75" x14ac:dyDescent="0.3">
      <c r="A48" s="346">
        <f>SUM(B44:P44,B46:Q46)</f>
        <v>98000</v>
      </c>
      <c r="B48" s="343"/>
      <c r="C48" s="344"/>
      <c r="D48" s="347">
        <v>126000</v>
      </c>
      <c r="E48" s="343"/>
      <c r="F48" s="344"/>
      <c r="G48" s="149">
        <f>A48*0.3</f>
        <v>29400</v>
      </c>
      <c r="H48" s="150">
        <f>A48/(D48+G48)</f>
        <v>0.63063063063063063</v>
      </c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</row>
    <row r="49" spans="1:19" ht="18.75" x14ac:dyDescent="0.3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</row>
    <row r="50" spans="1:19" ht="18.75" x14ac:dyDescent="0.3">
      <c r="A50" s="348" t="s">
        <v>373</v>
      </c>
      <c r="B50" s="133">
        <v>45870</v>
      </c>
      <c r="C50" s="134">
        <v>45871</v>
      </c>
      <c r="D50" s="135">
        <v>45872</v>
      </c>
      <c r="E50" s="136">
        <v>45873</v>
      </c>
      <c r="F50" s="133">
        <v>45874</v>
      </c>
      <c r="G50" s="133">
        <v>45875</v>
      </c>
      <c r="H50" s="133">
        <v>45876</v>
      </c>
      <c r="I50" s="134">
        <v>45877</v>
      </c>
      <c r="J50" s="135">
        <v>45878</v>
      </c>
      <c r="K50" s="136">
        <v>45879</v>
      </c>
      <c r="L50" s="133">
        <v>45880</v>
      </c>
      <c r="M50" s="133">
        <v>45881</v>
      </c>
      <c r="N50" s="133">
        <v>45882</v>
      </c>
      <c r="O50" s="133">
        <v>45883</v>
      </c>
      <c r="P50" s="134">
        <v>45884</v>
      </c>
      <c r="Q50" s="135"/>
      <c r="R50" s="136"/>
      <c r="S50" s="139"/>
    </row>
    <row r="51" spans="1:19" ht="18.75" x14ac:dyDescent="0.3">
      <c r="A51" s="349"/>
      <c r="B51" s="140"/>
      <c r="C51" s="140">
        <f>45000</f>
        <v>45000</v>
      </c>
      <c r="D51" s="140"/>
      <c r="E51" s="140">
        <f>22000+3500</f>
        <v>25500</v>
      </c>
      <c r="F51" s="140"/>
      <c r="G51" s="140"/>
      <c r="H51" s="140"/>
      <c r="I51" s="140">
        <f>15000</f>
        <v>15000</v>
      </c>
      <c r="J51" s="140">
        <v>15000</v>
      </c>
      <c r="K51" s="140"/>
      <c r="L51" s="140"/>
      <c r="M51" s="140"/>
      <c r="N51" s="140"/>
      <c r="O51" s="140"/>
      <c r="P51" s="139">
        <v>20880</v>
      </c>
      <c r="Q51" s="139"/>
      <c r="R51" s="139"/>
      <c r="S51" s="139"/>
    </row>
    <row r="52" spans="1:19" ht="18.75" x14ac:dyDescent="0.3">
      <c r="A52" s="349"/>
      <c r="B52" s="135">
        <v>45885</v>
      </c>
      <c r="C52" s="136">
        <v>45886</v>
      </c>
      <c r="D52" s="133">
        <v>45887</v>
      </c>
      <c r="E52" s="133" t="s">
        <v>322</v>
      </c>
      <c r="F52" s="133">
        <v>45889</v>
      </c>
      <c r="G52" s="133">
        <v>45890</v>
      </c>
      <c r="H52" s="134">
        <v>45891</v>
      </c>
      <c r="I52" s="135">
        <v>45892</v>
      </c>
      <c r="J52" s="136">
        <v>45893</v>
      </c>
      <c r="K52" s="133">
        <v>45894</v>
      </c>
      <c r="L52" s="133">
        <v>45895</v>
      </c>
      <c r="M52" s="133">
        <v>45896</v>
      </c>
      <c r="N52" s="133">
        <v>45897</v>
      </c>
      <c r="O52" s="134">
        <v>45898</v>
      </c>
      <c r="P52" s="135">
        <v>45899</v>
      </c>
      <c r="Q52" s="136">
        <v>45900</v>
      </c>
      <c r="R52" s="139"/>
      <c r="S52" s="139"/>
    </row>
    <row r="53" spans="1:19" ht="18.75" x14ac:dyDescent="0.3">
      <c r="A53" s="350"/>
      <c r="B53" s="140"/>
      <c r="C53" s="140"/>
      <c r="D53" s="140">
        <f>18630</f>
        <v>18630</v>
      </c>
      <c r="E53" s="140"/>
      <c r="F53" s="140"/>
      <c r="G53" s="140"/>
      <c r="H53" s="146"/>
      <c r="I53" s="140"/>
      <c r="J53" s="140"/>
      <c r="K53" s="140"/>
      <c r="L53" s="140"/>
      <c r="M53" s="140"/>
      <c r="N53" s="140">
        <f>16000</f>
        <v>16000</v>
      </c>
      <c r="O53" s="146"/>
      <c r="P53" s="139">
        <f>26000+2500</f>
        <v>28500</v>
      </c>
      <c r="Q53" s="139"/>
      <c r="R53" s="139"/>
      <c r="S53" s="139"/>
    </row>
    <row r="54" spans="1:19" ht="18.75" x14ac:dyDescent="0.3">
      <c r="A54" s="351" t="s">
        <v>363</v>
      </c>
      <c r="B54" s="343"/>
      <c r="C54" s="344"/>
      <c r="D54" s="352" t="s">
        <v>364</v>
      </c>
      <c r="E54" s="343"/>
      <c r="F54" s="344"/>
      <c r="G54" s="153" t="s">
        <v>365</v>
      </c>
      <c r="H54" s="153" t="s">
        <v>366</v>
      </c>
      <c r="I54" s="154"/>
      <c r="J54" s="154"/>
      <c r="K54" s="154"/>
      <c r="L54" s="154"/>
      <c r="M54" s="154"/>
      <c r="N54" s="154"/>
      <c r="O54" s="154"/>
      <c r="P54" s="139"/>
      <c r="Q54" s="139"/>
      <c r="R54" s="139"/>
      <c r="S54" s="139"/>
    </row>
    <row r="55" spans="1:19" ht="18.75" x14ac:dyDescent="0.3">
      <c r="A55" s="346">
        <f>SUM(B51:P51,B53:Q53)</f>
        <v>184510</v>
      </c>
      <c r="B55" s="343"/>
      <c r="C55" s="344"/>
      <c r="D55" s="347">
        <v>126000</v>
      </c>
      <c r="E55" s="343"/>
      <c r="F55" s="344"/>
      <c r="G55" s="149">
        <f>A55*0.3</f>
        <v>55353</v>
      </c>
      <c r="H55" s="155">
        <v>0</v>
      </c>
      <c r="I55" s="154"/>
      <c r="J55" s="154"/>
      <c r="K55" s="154"/>
      <c r="L55" s="154"/>
      <c r="M55" s="154"/>
      <c r="N55" s="154"/>
      <c r="O55" s="154"/>
      <c r="P55" s="139"/>
      <c r="Q55" s="139"/>
      <c r="R55" s="139"/>
      <c r="S55" s="139"/>
    </row>
    <row r="56" spans="1:19" ht="18.75" x14ac:dyDescent="0.3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</row>
    <row r="57" spans="1:19" ht="18.75" x14ac:dyDescent="0.3">
      <c r="A57" s="348" t="s">
        <v>374</v>
      </c>
      <c r="B57" s="133">
        <v>45901</v>
      </c>
      <c r="C57" s="133">
        <v>45902</v>
      </c>
      <c r="D57" s="133">
        <v>45903</v>
      </c>
      <c r="E57" s="133">
        <v>45904</v>
      </c>
      <c r="F57" s="134">
        <v>45905</v>
      </c>
      <c r="G57" s="135">
        <v>45906</v>
      </c>
      <c r="H57" s="136">
        <v>45907</v>
      </c>
      <c r="I57" s="133">
        <v>45908</v>
      </c>
      <c r="J57" s="133">
        <v>45909</v>
      </c>
      <c r="K57" s="133">
        <v>45910</v>
      </c>
      <c r="L57" s="133">
        <v>45911</v>
      </c>
      <c r="M57" s="134">
        <v>45912</v>
      </c>
      <c r="N57" s="135">
        <v>45913</v>
      </c>
      <c r="O57" s="136">
        <v>45914</v>
      </c>
      <c r="P57" s="133">
        <v>45915</v>
      </c>
      <c r="Q57" s="139"/>
      <c r="R57" s="139"/>
      <c r="S57" s="139"/>
    </row>
    <row r="58" spans="1:19" ht="18.75" x14ac:dyDescent="0.3">
      <c r="A58" s="349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39"/>
      <c r="Q58" s="139"/>
      <c r="R58" s="139"/>
      <c r="S58" s="139"/>
    </row>
    <row r="59" spans="1:19" ht="18.75" x14ac:dyDescent="0.3">
      <c r="A59" s="349"/>
      <c r="B59" s="133">
        <v>45916</v>
      </c>
      <c r="C59" s="133">
        <v>45917</v>
      </c>
      <c r="D59" s="133">
        <v>45918</v>
      </c>
      <c r="E59" s="134">
        <v>45919</v>
      </c>
      <c r="F59" s="135">
        <v>45920</v>
      </c>
      <c r="G59" s="136">
        <v>45921</v>
      </c>
      <c r="H59" s="133">
        <v>45922</v>
      </c>
      <c r="I59" s="133">
        <v>45923</v>
      </c>
      <c r="J59" s="133">
        <v>45924</v>
      </c>
      <c r="K59" s="133">
        <v>45925</v>
      </c>
      <c r="L59" s="134">
        <v>45926</v>
      </c>
      <c r="M59" s="135">
        <v>45927</v>
      </c>
      <c r="N59" s="136">
        <v>45928</v>
      </c>
      <c r="O59" s="133">
        <v>45929</v>
      </c>
      <c r="P59" s="133">
        <v>45930</v>
      </c>
      <c r="Q59" s="133"/>
      <c r="R59" s="139"/>
      <c r="S59" s="139"/>
    </row>
    <row r="60" spans="1:19" ht="18.75" x14ac:dyDescent="0.3">
      <c r="A60" s="350"/>
      <c r="B60" s="140"/>
      <c r="C60" s="140"/>
      <c r="D60" s="140"/>
      <c r="E60" s="140"/>
      <c r="F60" s="140"/>
      <c r="G60" s="139"/>
      <c r="H60" s="140">
        <f>36000/3</f>
        <v>12000</v>
      </c>
      <c r="I60" s="140">
        <v>12000</v>
      </c>
      <c r="J60" s="140">
        <v>12000</v>
      </c>
      <c r="K60" s="140"/>
      <c r="L60" s="140">
        <f>18630</f>
        <v>18630</v>
      </c>
      <c r="M60" s="140"/>
      <c r="N60" s="140"/>
      <c r="O60" s="146"/>
      <c r="P60" s="139"/>
      <c r="Q60" s="139"/>
      <c r="R60" s="139"/>
      <c r="S60" s="139"/>
    </row>
    <row r="61" spans="1:19" ht="18.75" x14ac:dyDescent="0.3">
      <c r="A61" s="351" t="s">
        <v>363</v>
      </c>
      <c r="B61" s="343"/>
      <c r="C61" s="344"/>
      <c r="D61" s="352" t="s">
        <v>364</v>
      </c>
      <c r="E61" s="343"/>
      <c r="F61" s="344"/>
      <c r="G61" s="153" t="s">
        <v>365</v>
      </c>
      <c r="H61" s="153" t="s">
        <v>366</v>
      </c>
      <c r="I61" s="154"/>
      <c r="J61" s="154"/>
      <c r="K61" s="154"/>
      <c r="L61" s="154"/>
      <c r="M61" s="154"/>
      <c r="N61" s="154"/>
      <c r="O61" s="154"/>
      <c r="P61" s="139"/>
      <c r="Q61" s="139"/>
      <c r="R61" s="139"/>
      <c r="S61" s="139"/>
    </row>
    <row r="62" spans="1:19" ht="18.75" x14ac:dyDescent="0.3">
      <c r="A62" s="346">
        <f>SUM(B58:P58,B60:Q60)</f>
        <v>54630</v>
      </c>
      <c r="B62" s="343"/>
      <c r="C62" s="344"/>
      <c r="D62" s="347">
        <v>126000</v>
      </c>
      <c r="E62" s="343"/>
      <c r="F62" s="344"/>
      <c r="G62" s="149">
        <f>A62*0.3</f>
        <v>16389</v>
      </c>
      <c r="H62" s="155">
        <v>0</v>
      </c>
      <c r="I62" s="154"/>
      <c r="J62" s="154"/>
      <c r="K62" s="154"/>
      <c r="L62" s="154"/>
      <c r="M62" s="154"/>
      <c r="N62" s="154"/>
      <c r="O62" s="154"/>
      <c r="P62" s="139"/>
      <c r="Q62" s="139"/>
      <c r="R62" s="139"/>
      <c r="S62" s="139"/>
    </row>
    <row r="63" spans="1:19" ht="18.75" x14ac:dyDescent="0.3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</row>
    <row r="64" spans="1:19" ht="18.75" x14ac:dyDescent="0.3">
      <c r="A64" s="348" t="s">
        <v>375</v>
      </c>
      <c r="B64" s="133">
        <v>45931</v>
      </c>
      <c r="C64" s="133">
        <v>45932</v>
      </c>
      <c r="D64" s="134">
        <v>45933</v>
      </c>
      <c r="E64" s="135">
        <v>45934</v>
      </c>
      <c r="F64" s="136">
        <v>45935</v>
      </c>
      <c r="G64" s="133">
        <v>45936</v>
      </c>
      <c r="H64" s="133">
        <v>45937</v>
      </c>
      <c r="I64" s="133">
        <v>45938</v>
      </c>
      <c r="J64" s="133">
        <v>45939</v>
      </c>
      <c r="K64" s="134">
        <v>45940</v>
      </c>
      <c r="L64" s="135">
        <v>45941</v>
      </c>
      <c r="M64" s="136">
        <v>45942</v>
      </c>
      <c r="N64" s="133">
        <v>45943</v>
      </c>
      <c r="O64" s="133">
        <v>45944</v>
      </c>
      <c r="P64" s="133">
        <v>45945</v>
      </c>
      <c r="Q64" s="139"/>
      <c r="R64" s="139"/>
      <c r="S64" s="139"/>
    </row>
    <row r="65" spans="1:19" ht="18.75" x14ac:dyDescent="0.3">
      <c r="A65" s="349"/>
      <c r="B65" s="140"/>
      <c r="C65" s="140"/>
      <c r="D65" s="140"/>
      <c r="E65" s="140">
        <v>27000</v>
      </c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39"/>
      <c r="Q65" s="139"/>
      <c r="R65" s="139"/>
      <c r="S65" s="139"/>
    </row>
    <row r="66" spans="1:19" ht="18.75" x14ac:dyDescent="0.3">
      <c r="A66" s="349"/>
      <c r="B66" s="133">
        <v>45946</v>
      </c>
      <c r="C66" s="134">
        <v>45947</v>
      </c>
      <c r="D66" s="135">
        <v>45948</v>
      </c>
      <c r="E66" s="136">
        <v>45949</v>
      </c>
      <c r="F66" s="133">
        <v>45950</v>
      </c>
      <c r="G66" s="133">
        <v>45951</v>
      </c>
      <c r="H66" s="133">
        <v>45952</v>
      </c>
      <c r="I66" s="133">
        <v>45953</v>
      </c>
      <c r="J66" s="134">
        <v>45954</v>
      </c>
      <c r="K66" s="135">
        <v>45955</v>
      </c>
      <c r="L66" s="136">
        <v>45956</v>
      </c>
      <c r="M66" s="133">
        <v>45957</v>
      </c>
      <c r="N66" s="133">
        <v>45958</v>
      </c>
      <c r="O66" s="133">
        <v>45959</v>
      </c>
      <c r="P66" s="133">
        <v>45960</v>
      </c>
      <c r="Q66" s="133">
        <v>5</v>
      </c>
      <c r="R66" s="139"/>
      <c r="S66" s="139"/>
    </row>
    <row r="67" spans="1:19" ht="18.75" x14ac:dyDescent="0.3">
      <c r="A67" s="350"/>
      <c r="B67" s="140"/>
      <c r="C67" s="140"/>
      <c r="D67" s="140">
        <v>15190</v>
      </c>
      <c r="E67" s="140"/>
      <c r="F67" s="140">
        <v>0</v>
      </c>
      <c r="G67" s="140"/>
      <c r="H67" s="146"/>
      <c r="I67" s="140"/>
      <c r="J67" s="140"/>
      <c r="K67" s="140">
        <v>12000</v>
      </c>
      <c r="L67" s="140"/>
      <c r="M67" s="140"/>
      <c r="N67" s="140"/>
      <c r="O67" s="146"/>
      <c r="P67" s="139"/>
      <c r="Q67" s="139"/>
      <c r="R67" s="139"/>
      <c r="S67" s="139"/>
    </row>
    <row r="68" spans="1:19" ht="18.75" x14ac:dyDescent="0.3">
      <c r="A68" s="351" t="s">
        <v>363</v>
      </c>
      <c r="B68" s="343"/>
      <c r="C68" s="344"/>
      <c r="D68" s="352" t="s">
        <v>364</v>
      </c>
      <c r="E68" s="343"/>
      <c r="F68" s="344"/>
      <c r="G68" s="153" t="s">
        <v>365</v>
      </c>
      <c r="H68" s="153" t="s">
        <v>366</v>
      </c>
      <c r="I68" s="154"/>
      <c r="J68" s="154"/>
      <c r="K68" s="154"/>
      <c r="L68" s="154"/>
      <c r="M68" s="154"/>
      <c r="N68" s="154"/>
      <c r="O68" s="154"/>
      <c r="P68" s="139"/>
      <c r="Q68" s="139"/>
      <c r="R68" s="139"/>
      <c r="S68" s="139"/>
    </row>
    <row r="69" spans="1:19" ht="18.75" x14ac:dyDescent="0.3">
      <c r="A69" s="346">
        <f>SUM(B65:P65,B67:Q67)</f>
        <v>54190</v>
      </c>
      <c r="B69" s="343"/>
      <c r="C69" s="344"/>
      <c r="D69" s="347">
        <v>126000</v>
      </c>
      <c r="E69" s="343"/>
      <c r="F69" s="344"/>
      <c r="G69" s="149">
        <f>A69*0.3</f>
        <v>16257</v>
      </c>
      <c r="H69" s="155">
        <v>0</v>
      </c>
      <c r="I69" s="154"/>
      <c r="J69" s="154"/>
      <c r="K69" s="154"/>
      <c r="L69" s="154"/>
      <c r="M69" s="154"/>
      <c r="N69" s="154"/>
      <c r="O69" s="154"/>
      <c r="P69" s="139"/>
      <c r="Q69" s="139"/>
      <c r="R69" s="139"/>
      <c r="S69" s="139"/>
    </row>
    <row r="70" spans="1:19" ht="18.75" x14ac:dyDescent="0.3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</row>
    <row r="71" spans="1:19" ht="18.75" x14ac:dyDescent="0.3">
      <c r="A71" s="348" t="s">
        <v>376</v>
      </c>
      <c r="B71" s="135">
        <v>45962</v>
      </c>
      <c r="C71" s="136">
        <v>45963</v>
      </c>
      <c r="D71" s="177">
        <v>45964</v>
      </c>
      <c r="E71" s="177">
        <v>45965</v>
      </c>
      <c r="F71" s="177">
        <v>45966</v>
      </c>
      <c r="G71" s="177">
        <v>45967</v>
      </c>
      <c r="H71" s="134">
        <v>45968</v>
      </c>
      <c r="I71" s="135">
        <v>45969</v>
      </c>
      <c r="J71" s="136">
        <v>45970</v>
      </c>
      <c r="K71" s="133">
        <v>45971</v>
      </c>
      <c r="L71" s="133">
        <v>45972</v>
      </c>
      <c r="M71" s="133">
        <v>45973</v>
      </c>
      <c r="N71" s="133">
        <v>45974</v>
      </c>
      <c r="O71" s="134">
        <v>45975</v>
      </c>
      <c r="P71" s="135">
        <v>45976</v>
      </c>
      <c r="Q71" s="136"/>
      <c r="R71" s="139"/>
      <c r="S71" s="139"/>
    </row>
    <row r="72" spans="1:19" ht="18.75" x14ac:dyDescent="0.3">
      <c r="A72" s="349"/>
      <c r="B72" s="140">
        <f>45000</f>
        <v>45000</v>
      </c>
      <c r="C72" s="140"/>
      <c r="D72" s="140"/>
      <c r="E72" s="140">
        <f>6000+3500</f>
        <v>9500</v>
      </c>
      <c r="F72" s="140"/>
      <c r="G72" s="140">
        <v>10500</v>
      </c>
      <c r="H72" s="140"/>
      <c r="I72" s="140"/>
      <c r="J72" s="140"/>
      <c r="K72" s="140"/>
      <c r="L72" s="140"/>
      <c r="M72" s="140"/>
      <c r="N72" s="140"/>
      <c r="O72" s="140"/>
      <c r="P72" s="139"/>
      <c r="Q72" s="139"/>
      <c r="R72" s="139"/>
      <c r="S72" s="139"/>
    </row>
    <row r="73" spans="1:19" ht="18.75" x14ac:dyDescent="0.3">
      <c r="A73" s="349"/>
      <c r="B73" s="136">
        <v>45977</v>
      </c>
      <c r="C73" s="133">
        <v>45978</v>
      </c>
      <c r="D73" s="133">
        <v>45979</v>
      </c>
      <c r="E73" s="133">
        <v>45980</v>
      </c>
      <c r="F73" s="133">
        <v>45981</v>
      </c>
      <c r="G73" s="134">
        <v>45982</v>
      </c>
      <c r="H73" s="135">
        <v>45983</v>
      </c>
      <c r="I73" s="136">
        <v>45619</v>
      </c>
      <c r="J73" s="133">
        <v>45985</v>
      </c>
      <c r="K73" s="133">
        <v>45986</v>
      </c>
      <c r="L73" s="133">
        <v>45987</v>
      </c>
      <c r="M73" s="133">
        <v>45988</v>
      </c>
      <c r="N73" s="134">
        <v>45989</v>
      </c>
      <c r="O73" s="135">
        <v>45990</v>
      </c>
      <c r="P73" s="136">
        <v>45991</v>
      </c>
      <c r="Q73" s="133"/>
      <c r="R73" s="139"/>
      <c r="S73" s="139"/>
    </row>
    <row r="74" spans="1:19" ht="18.75" x14ac:dyDescent="0.3">
      <c r="A74" s="350"/>
      <c r="B74" s="140"/>
      <c r="C74" s="140"/>
      <c r="D74" s="140"/>
      <c r="E74" s="140"/>
      <c r="F74" s="140"/>
      <c r="G74" s="140"/>
      <c r="H74" s="146">
        <v>0</v>
      </c>
      <c r="I74" s="140"/>
      <c r="J74" s="140"/>
      <c r="K74" s="140"/>
      <c r="L74" s="140"/>
      <c r="M74" s="140">
        <f>12000</f>
        <v>12000</v>
      </c>
      <c r="N74" s="140">
        <v>25000</v>
      </c>
      <c r="O74" s="146">
        <f>27000</f>
        <v>27000</v>
      </c>
      <c r="P74" s="139"/>
      <c r="Q74" s="139"/>
      <c r="R74" s="139"/>
      <c r="S74" s="139"/>
    </row>
    <row r="75" spans="1:19" ht="18.75" x14ac:dyDescent="0.3">
      <c r="A75" s="351" t="s">
        <v>363</v>
      </c>
      <c r="B75" s="343"/>
      <c r="C75" s="344"/>
      <c r="D75" s="352" t="s">
        <v>364</v>
      </c>
      <c r="E75" s="343"/>
      <c r="F75" s="344"/>
      <c r="G75" s="153" t="s">
        <v>365</v>
      </c>
      <c r="H75" s="153" t="s">
        <v>366</v>
      </c>
      <c r="I75" s="154"/>
      <c r="J75" s="154"/>
      <c r="K75" s="154"/>
      <c r="L75" s="154"/>
      <c r="M75" s="154"/>
      <c r="N75" s="154"/>
      <c r="O75" s="154"/>
      <c r="P75" s="139"/>
      <c r="Q75" s="139"/>
      <c r="R75" s="139"/>
      <c r="S75" s="139"/>
    </row>
    <row r="76" spans="1:19" ht="18.75" x14ac:dyDescent="0.3">
      <c r="A76" s="346">
        <f>SUM(B72:P72,B74:Q74)</f>
        <v>129000</v>
      </c>
      <c r="B76" s="343"/>
      <c r="C76" s="344"/>
      <c r="D76" s="347">
        <v>126000</v>
      </c>
      <c r="E76" s="343"/>
      <c r="F76" s="344"/>
      <c r="G76" s="149">
        <f>A76*0.3</f>
        <v>38700</v>
      </c>
      <c r="H76" s="155">
        <v>0</v>
      </c>
      <c r="I76" s="154"/>
      <c r="J76" s="154"/>
      <c r="K76" s="154"/>
      <c r="L76" s="154"/>
      <c r="M76" s="154"/>
      <c r="N76" s="154"/>
      <c r="O76" s="154"/>
      <c r="P76" s="139"/>
      <c r="Q76" s="139"/>
      <c r="R76" s="139"/>
      <c r="S76" s="139"/>
    </row>
    <row r="77" spans="1:19" ht="18.75" x14ac:dyDescent="0.3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</row>
    <row r="78" spans="1:19" ht="18.75" x14ac:dyDescent="0.3">
      <c r="A78" s="348" t="s">
        <v>377</v>
      </c>
      <c r="B78" s="133">
        <v>45992</v>
      </c>
      <c r="C78" s="133">
        <v>45993</v>
      </c>
      <c r="D78" s="133">
        <v>45994</v>
      </c>
      <c r="E78" s="133">
        <v>45995</v>
      </c>
      <c r="F78" s="134">
        <v>45996</v>
      </c>
      <c r="G78" s="135">
        <v>45997</v>
      </c>
      <c r="H78" s="136">
        <v>45633</v>
      </c>
      <c r="I78" s="133">
        <v>45999</v>
      </c>
      <c r="J78" s="133">
        <v>46000</v>
      </c>
      <c r="K78" s="133">
        <v>46001</v>
      </c>
      <c r="L78" s="133">
        <v>46002</v>
      </c>
      <c r="M78" s="134">
        <v>46003</v>
      </c>
      <c r="N78" s="135">
        <v>46004</v>
      </c>
      <c r="O78" s="136">
        <v>46005</v>
      </c>
      <c r="P78" s="133">
        <v>46006</v>
      </c>
      <c r="Q78" s="139"/>
      <c r="R78" s="139"/>
      <c r="S78" s="139"/>
    </row>
    <row r="79" spans="1:19" ht="18.75" x14ac:dyDescent="0.3">
      <c r="A79" s="349"/>
      <c r="B79" s="140">
        <v>6200</v>
      </c>
      <c r="C79" s="140"/>
      <c r="D79" s="140">
        <f>12000+3500</f>
        <v>15500</v>
      </c>
      <c r="E79" s="140"/>
      <c r="F79" s="140">
        <f>25000</f>
        <v>25000</v>
      </c>
      <c r="G79" s="140"/>
      <c r="H79" s="140"/>
      <c r="I79" s="140"/>
      <c r="J79" s="140"/>
      <c r="K79" s="140"/>
      <c r="L79" s="140">
        <v>15000</v>
      </c>
      <c r="M79" s="140">
        <v>29530</v>
      </c>
      <c r="N79" s="140"/>
      <c r="O79" s="140"/>
      <c r="P79" s="139"/>
      <c r="Q79" s="139"/>
      <c r="R79" s="139"/>
      <c r="S79" s="139"/>
    </row>
    <row r="80" spans="1:19" ht="18.75" x14ac:dyDescent="0.3">
      <c r="A80" s="349"/>
      <c r="B80" s="133">
        <v>46007</v>
      </c>
      <c r="C80" s="133">
        <v>46008</v>
      </c>
      <c r="D80" s="133">
        <v>46009</v>
      </c>
      <c r="E80" s="134">
        <v>46010</v>
      </c>
      <c r="F80" s="135">
        <v>46011</v>
      </c>
      <c r="G80" s="136">
        <v>46012</v>
      </c>
      <c r="H80" s="133">
        <v>46013</v>
      </c>
      <c r="I80" s="133">
        <v>46014</v>
      </c>
      <c r="J80" s="133">
        <v>46015</v>
      </c>
      <c r="K80" s="156">
        <v>46016</v>
      </c>
      <c r="L80" s="134">
        <v>46017</v>
      </c>
      <c r="M80" s="135">
        <v>46018</v>
      </c>
      <c r="N80" s="136">
        <v>46019</v>
      </c>
      <c r="O80" s="133">
        <v>46020</v>
      </c>
      <c r="P80" s="133">
        <v>46021</v>
      </c>
      <c r="Q80" s="133">
        <v>46022</v>
      </c>
      <c r="R80" s="139"/>
      <c r="S80" s="139"/>
    </row>
    <row r="81" spans="1:19" ht="18.75" x14ac:dyDescent="0.3">
      <c r="A81" s="350"/>
      <c r="B81" s="140">
        <v>6000</v>
      </c>
      <c r="C81" s="140">
        <f>12000</f>
        <v>12000</v>
      </c>
      <c r="D81" s="140"/>
      <c r="E81" s="140"/>
      <c r="F81" s="140"/>
      <c r="G81" s="140">
        <v>12000</v>
      </c>
      <c r="H81" s="146"/>
      <c r="I81" s="140"/>
      <c r="J81" s="140"/>
      <c r="K81" s="157" t="s">
        <v>378</v>
      </c>
      <c r="L81" s="140"/>
      <c r="M81" s="140"/>
      <c r="N81" s="140"/>
      <c r="O81" s="146"/>
      <c r="P81" s="139"/>
      <c r="Q81" s="139"/>
      <c r="R81" s="139"/>
      <c r="S81" s="139"/>
    </row>
    <row r="82" spans="1:19" ht="18.75" x14ac:dyDescent="0.3">
      <c r="A82" s="351" t="s">
        <v>397</v>
      </c>
      <c r="B82" s="343"/>
      <c r="C82" s="344"/>
      <c r="D82" s="352" t="s">
        <v>364</v>
      </c>
      <c r="E82" s="343"/>
      <c r="F82" s="344"/>
      <c r="G82" s="153" t="s">
        <v>365</v>
      </c>
      <c r="H82" s="153" t="s">
        <v>366</v>
      </c>
      <c r="I82" s="154"/>
      <c r="J82" s="154"/>
      <c r="K82" s="154"/>
      <c r="L82" s="154"/>
      <c r="M82" s="154"/>
      <c r="N82" s="154"/>
      <c r="O82" s="154"/>
      <c r="P82" s="139"/>
      <c r="Q82" s="139"/>
      <c r="R82" s="139"/>
      <c r="S82" s="139"/>
    </row>
    <row r="83" spans="1:19" ht="18.75" x14ac:dyDescent="0.3">
      <c r="A83" s="346">
        <f>SUM(B79:P79,B81:Q81)</f>
        <v>121230</v>
      </c>
      <c r="B83" s="343"/>
      <c r="C83" s="344"/>
      <c r="D83" s="347">
        <v>126000</v>
      </c>
      <c r="E83" s="343"/>
      <c r="F83" s="344"/>
      <c r="G83" s="149">
        <f>A83*0.3</f>
        <v>36369</v>
      </c>
      <c r="H83" s="155">
        <v>0</v>
      </c>
      <c r="I83" s="154"/>
      <c r="J83" s="154"/>
      <c r="K83" s="154"/>
      <c r="L83" s="154"/>
      <c r="M83" s="154"/>
      <c r="N83" s="154"/>
      <c r="O83" s="154"/>
      <c r="P83" s="139"/>
      <c r="Q83" s="139"/>
      <c r="R83" s="139"/>
      <c r="S83" s="139"/>
    </row>
    <row r="84" spans="1:19" ht="18.75" x14ac:dyDescent="0.3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</row>
    <row r="85" spans="1:19" ht="18.75" x14ac:dyDescent="0.3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</row>
    <row r="86" spans="1:19" ht="18.75" x14ac:dyDescent="0.3">
      <c r="A86" s="342" t="s">
        <v>379</v>
      </c>
      <c r="B86" s="343"/>
      <c r="C86" s="344"/>
      <c r="D86" s="342" t="s">
        <v>380</v>
      </c>
      <c r="E86" s="343"/>
      <c r="F86" s="344"/>
      <c r="G86" s="158" t="s">
        <v>381</v>
      </c>
      <c r="H86" s="159" t="s">
        <v>366</v>
      </c>
      <c r="I86" s="160"/>
      <c r="J86" s="139"/>
      <c r="K86" s="139"/>
      <c r="L86" s="139"/>
      <c r="M86" s="139"/>
      <c r="N86" s="139"/>
      <c r="O86" s="139"/>
      <c r="P86" s="139"/>
      <c r="Q86" s="139"/>
      <c r="R86" s="139"/>
      <c r="S86" s="139"/>
    </row>
    <row r="87" spans="1:19" ht="18.75" x14ac:dyDescent="0.3">
      <c r="A87" s="345">
        <f>SUM(A83,A76,A69,A62,A55,A48,A41,A34,A27,A20,A13,A6)</f>
        <v>1105656.5</v>
      </c>
      <c r="B87" s="343"/>
      <c r="C87" s="344"/>
      <c r="D87" s="345">
        <f>SUM(D83,D76,D69,D62,D55,D48,D41,D34,D27,D20,D13,D6)</f>
        <v>1512000</v>
      </c>
      <c r="E87" s="343"/>
      <c r="F87" s="344"/>
      <c r="G87" s="161">
        <f>SUM(G83,G76,G69,G62,G55,G48,G41,G34,G27,G20,G13,G6)</f>
        <v>331696.95</v>
      </c>
      <c r="H87" s="162">
        <f>A87/(D87+G87)</f>
        <v>0.59969535665826212</v>
      </c>
      <c r="I87" s="160"/>
      <c r="J87" s="139"/>
      <c r="K87" s="139"/>
      <c r="L87" s="139"/>
      <c r="M87" s="139"/>
      <c r="N87" s="139"/>
      <c r="O87" s="139"/>
      <c r="P87" s="139"/>
      <c r="Q87" s="139"/>
      <c r="R87" s="139"/>
      <c r="S87" s="139"/>
    </row>
    <row r="88" spans="1:19" ht="18.75" x14ac:dyDescent="0.3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</row>
    <row r="89" spans="1:19" ht="18.75" x14ac:dyDescent="0.3">
      <c r="A89" s="138"/>
      <c r="B89" s="163" t="s">
        <v>382</v>
      </c>
      <c r="C89" s="163" t="s">
        <v>383</v>
      </c>
      <c r="D89" s="163" t="s">
        <v>384</v>
      </c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</row>
    <row r="90" spans="1:19" ht="18.75" x14ac:dyDescent="0.3">
      <c r="A90" s="164" t="s">
        <v>385</v>
      </c>
      <c r="B90" s="165">
        <f>D6</f>
        <v>126000</v>
      </c>
      <c r="C90" s="166">
        <f>A6</f>
        <v>22200</v>
      </c>
      <c r="D90" s="166">
        <f t="shared" ref="D90:D102" si="0">C90-B90</f>
        <v>-103800</v>
      </c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</row>
    <row r="91" spans="1:19" ht="18.75" x14ac:dyDescent="0.3">
      <c r="A91" s="164" t="s">
        <v>386</v>
      </c>
      <c r="B91" s="167">
        <v>126000</v>
      </c>
      <c r="C91" s="166">
        <f>A13</f>
        <v>70445.7</v>
      </c>
      <c r="D91" s="166">
        <f t="shared" si="0"/>
        <v>-55554.3</v>
      </c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</row>
    <row r="92" spans="1:19" ht="18.75" x14ac:dyDescent="0.3">
      <c r="A92" s="168" t="s">
        <v>387</v>
      </c>
      <c r="B92" s="167">
        <v>126000</v>
      </c>
      <c r="C92" s="166">
        <f>A20</f>
        <v>187716.8</v>
      </c>
      <c r="D92" s="166">
        <f t="shared" si="0"/>
        <v>61716.799999999988</v>
      </c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</row>
    <row r="93" spans="1:19" ht="18.75" x14ac:dyDescent="0.3">
      <c r="A93" s="168" t="s">
        <v>388</v>
      </c>
      <c r="B93" s="167">
        <v>126000</v>
      </c>
      <c r="C93" s="166">
        <f>A27</f>
        <v>99534</v>
      </c>
      <c r="D93" s="166">
        <f t="shared" si="0"/>
        <v>-26466</v>
      </c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</row>
    <row r="94" spans="1:19" ht="18.75" x14ac:dyDescent="0.3">
      <c r="A94" s="168" t="s">
        <v>389</v>
      </c>
      <c r="B94" s="167">
        <v>126000</v>
      </c>
      <c r="C94" s="166">
        <f>A34</f>
        <v>15000</v>
      </c>
      <c r="D94" s="166">
        <f t="shared" si="0"/>
        <v>-111000</v>
      </c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</row>
    <row r="95" spans="1:19" ht="18.75" x14ac:dyDescent="0.3">
      <c r="A95" s="168" t="s">
        <v>390</v>
      </c>
      <c r="B95" s="167">
        <v>126000</v>
      </c>
      <c r="C95" s="166">
        <f>A41</f>
        <v>69200</v>
      </c>
      <c r="D95" s="166">
        <f t="shared" si="0"/>
        <v>-56800</v>
      </c>
      <c r="E95" s="139"/>
      <c r="F95" s="139"/>
      <c r="G95" s="169"/>
      <c r="H95" s="16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</row>
    <row r="96" spans="1:19" ht="18.75" x14ac:dyDescent="0.3">
      <c r="A96" s="168" t="s">
        <v>391</v>
      </c>
      <c r="B96" s="167">
        <v>126000</v>
      </c>
      <c r="C96" s="166">
        <f>A55</f>
        <v>184510</v>
      </c>
      <c r="D96" s="166">
        <f t="shared" si="0"/>
        <v>58510</v>
      </c>
      <c r="E96" s="139"/>
      <c r="F96" s="139"/>
      <c r="G96" s="169"/>
      <c r="H96" s="16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</row>
    <row r="97" spans="1:19" ht="18.75" x14ac:dyDescent="0.3">
      <c r="A97" s="168" t="s">
        <v>392</v>
      </c>
      <c r="B97" s="167">
        <v>126000</v>
      </c>
      <c r="C97" s="166">
        <f>A13</f>
        <v>70445.7</v>
      </c>
      <c r="D97" s="166">
        <f t="shared" si="0"/>
        <v>-55554.3</v>
      </c>
      <c r="E97" s="139"/>
      <c r="F97" s="139"/>
      <c r="G97" s="169"/>
      <c r="H97" s="16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</row>
    <row r="98" spans="1:19" ht="18.75" x14ac:dyDescent="0.3">
      <c r="A98" s="164" t="s">
        <v>393</v>
      </c>
      <c r="B98" s="167">
        <v>126000</v>
      </c>
      <c r="C98" s="166">
        <f>A62</f>
        <v>54630</v>
      </c>
      <c r="D98" s="166">
        <f t="shared" si="0"/>
        <v>-71370</v>
      </c>
      <c r="E98" s="139"/>
      <c r="F98" s="139"/>
      <c r="G98" s="169"/>
      <c r="H98" s="16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</row>
    <row r="99" spans="1:19" ht="18.75" x14ac:dyDescent="0.3">
      <c r="A99" s="164" t="s">
        <v>394</v>
      </c>
      <c r="B99" s="167">
        <v>126000</v>
      </c>
      <c r="C99" s="166">
        <f>A69</f>
        <v>54190</v>
      </c>
      <c r="D99" s="166">
        <f t="shared" si="0"/>
        <v>-71810</v>
      </c>
      <c r="E99" s="139"/>
      <c r="F99" s="139"/>
      <c r="G99" s="169"/>
      <c r="H99" s="16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</row>
    <row r="100" spans="1:19" ht="18.75" x14ac:dyDescent="0.3">
      <c r="A100" s="164" t="s">
        <v>395</v>
      </c>
      <c r="B100" s="167">
        <v>126000</v>
      </c>
      <c r="C100" s="166">
        <f>A76</f>
        <v>129000</v>
      </c>
      <c r="D100" s="166">
        <f t="shared" si="0"/>
        <v>3000</v>
      </c>
      <c r="E100" s="139"/>
      <c r="F100" s="139"/>
      <c r="G100" s="169"/>
      <c r="H100" s="16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</row>
    <row r="101" spans="1:19" ht="18.75" x14ac:dyDescent="0.3">
      <c r="A101" s="164" t="s">
        <v>396</v>
      </c>
      <c r="B101" s="167">
        <v>126000</v>
      </c>
      <c r="C101" s="166">
        <f>A83</f>
        <v>121230</v>
      </c>
      <c r="D101" s="166">
        <f t="shared" si="0"/>
        <v>-4770</v>
      </c>
      <c r="E101" s="139"/>
      <c r="F101" s="139"/>
      <c r="G101" s="169"/>
      <c r="H101" s="16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</row>
    <row r="102" spans="1:19" ht="18.75" x14ac:dyDescent="0.3">
      <c r="A102" s="139"/>
      <c r="B102" s="139"/>
      <c r="C102" s="139"/>
      <c r="D102" s="170">
        <f t="shared" si="0"/>
        <v>0</v>
      </c>
      <c r="E102" s="139"/>
      <c r="F102" s="139"/>
      <c r="G102" s="139"/>
      <c r="H102" s="16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</row>
    <row r="112" spans="1:19" x14ac:dyDescent="0.25">
      <c r="B112" s="236">
        <f>126000*12</f>
        <v>1512000</v>
      </c>
    </row>
  </sheetData>
  <mergeCells count="64">
    <mergeCell ref="A19:C19"/>
    <mergeCell ref="D19:F19"/>
    <mergeCell ref="A1:A4"/>
    <mergeCell ref="A5:C5"/>
    <mergeCell ref="D5:F5"/>
    <mergeCell ref="A6:C6"/>
    <mergeCell ref="D6:F6"/>
    <mergeCell ref="A8:A11"/>
    <mergeCell ref="A12:C12"/>
    <mergeCell ref="D12:F12"/>
    <mergeCell ref="A13:C13"/>
    <mergeCell ref="D13:F13"/>
    <mergeCell ref="A15:A18"/>
    <mergeCell ref="A36:A39"/>
    <mergeCell ref="A20:C20"/>
    <mergeCell ref="D20:F20"/>
    <mergeCell ref="A22:A25"/>
    <mergeCell ref="A26:C26"/>
    <mergeCell ref="D26:F26"/>
    <mergeCell ref="A27:C27"/>
    <mergeCell ref="D27:F27"/>
    <mergeCell ref="A29:A32"/>
    <mergeCell ref="A33:C33"/>
    <mergeCell ref="D33:F33"/>
    <mergeCell ref="A34:C34"/>
    <mergeCell ref="D34:F34"/>
    <mergeCell ref="A55:C55"/>
    <mergeCell ref="D55:F55"/>
    <mergeCell ref="A40:C40"/>
    <mergeCell ref="D40:F40"/>
    <mergeCell ref="A41:C41"/>
    <mergeCell ref="D41:F41"/>
    <mergeCell ref="A43:A46"/>
    <mergeCell ref="A47:C47"/>
    <mergeCell ref="D47:F47"/>
    <mergeCell ref="A48:C48"/>
    <mergeCell ref="D48:F48"/>
    <mergeCell ref="A50:A53"/>
    <mergeCell ref="A54:C54"/>
    <mergeCell ref="D54:F54"/>
    <mergeCell ref="A75:C75"/>
    <mergeCell ref="D75:F75"/>
    <mergeCell ref="A57:A60"/>
    <mergeCell ref="A61:C61"/>
    <mergeCell ref="D61:F61"/>
    <mergeCell ref="A62:C62"/>
    <mergeCell ref="D62:F62"/>
    <mergeCell ref="A64:A67"/>
    <mergeCell ref="A68:C68"/>
    <mergeCell ref="D68:F68"/>
    <mergeCell ref="A69:C69"/>
    <mergeCell ref="D69:F69"/>
    <mergeCell ref="A71:A74"/>
    <mergeCell ref="A86:C86"/>
    <mergeCell ref="D86:F86"/>
    <mergeCell ref="A87:C87"/>
    <mergeCell ref="D87:F87"/>
    <mergeCell ref="A76:C76"/>
    <mergeCell ref="D76:F76"/>
    <mergeCell ref="A78:A81"/>
    <mergeCell ref="A82:C82"/>
    <mergeCell ref="D82:F82"/>
    <mergeCell ref="A83:C83"/>
    <mergeCell ref="D83:F83"/>
  </mergeCells>
  <conditionalFormatting sqref="A6:C6">
    <cfRule type="cellIs" dxfId="47" priority="1" operator="greaterThan">
      <formula>$D$6</formula>
    </cfRule>
  </conditionalFormatting>
  <conditionalFormatting sqref="A6:C6">
    <cfRule type="cellIs" dxfId="46" priority="2" operator="lessThan">
      <formula>$D$6</formula>
    </cfRule>
  </conditionalFormatting>
  <conditionalFormatting sqref="A13:C13">
    <cfRule type="cellIs" dxfId="45" priority="3" operator="greaterThan">
      <formula>$D$6</formula>
    </cfRule>
  </conditionalFormatting>
  <conditionalFormatting sqref="A13:C13">
    <cfRule type="cellIs" dxfId="44" priority="4" operator="lessThan">
      <formula>$D$6</formula>
    </cfRule>
  </conditionalFormatting>
  <conditionalFormatting sqref="A20:C20">
    <cfRule type="cellIs" dxfId="43" priority="5" operator="greaterThan">
      <formula>$D$6</formula>
    </cfRule>
  </conditionalFormatting>
  <conditionalFormatting sqref="A20:C20">
    <cfRule type="cellIs" dxfId="42" priority="6" operator="lessThan">
      <formula>$D$6</formula>
    </cfRule>
  </conditionalFormatting>
  <conditionalFormatting sqref="A27:C27">
    <cfRule type="cellIs" dxfId="41" priority="7" operator="greaterThan">
      <formula>$D$6</formula>
    </cfRule>
  </conditionalFormatting>
  <conditionalFormatting sqref="A27:C27">
    <cfRule type="cellIs" dxfId="40" priority="8" operator="lessThan">
      <formula>$D$6</formula>
    </cfRule>
  </conditionalFormatting>
  <conditionalFormatting sqref="A34:C34">
    <cfRule type="cellIs" dxfId="39" priority="9" operator="greaterThan">
      <formula>$D$6</formula>
    </cfRule>
  </conditionalFormatting>
  <conditionalFormatting sqref="A34:C34">
    <cfRule type="cellIs" dxfId="38" priority="10" operator="lessThan">
      <formula>$D$6</formula>
    </cfRule>
  </conditionalFormatting>
  <conditionalFormatting sqref="A48:C48">
    <cfRule type="cellIs" dxfId="37" priority="11" operator="greaterThan">
      <formula>$D$6</formula>
    </cfRule>
  </conditionalFormatting>
  <conditionalFormatting sqref="A48:C48">
    <cfRule type="cellIs" dxfId="36" priority="12" operator="lessThan">
      <formula>$D$6</formula>
    </cfRule>
  </conditionalFormatting>
  <conditionalFormatting sqref="A55:C55">
    <cfRule type="cellIs" dxfId="35" priority="13" operator="greaterThan">
      <formula>$D$6</formula>
    </cfRule>
  </conditionalFormatting>
  <conditionalFormatting sqref="A55:C55">
    <cfRule type="cellIs" dxfId="34" priority="14" operator="lessThan">
      <formula>$D$6</formula>
    </cfRule>
  </conditionalFormatting>
  <conditionalFormatting sqref="A62:C62">
    <cfRule type="cellIs" dxfId="33" priority="15" operator="greaterThan">
      <formula>$D$6</formula>
    </cfRule>
  </conditionalFormatting>
  <conditionalFormatting sqref="A62:C62">
    <cfRule type="cellIs" dxfId="32" priority="16" operator="lessThan">
      <formula>$D$6</formula>
    </cfRule>
  </conditionalFormatting>
  <conditionalFormatting sqref="A69:C69">
    <cfRule type="cellIs" dxfId="31" priority="17" operator="greaterThan">
      <formula>$D$6</formula>
    </cfRule>
  </conditionalFormatting>
  <conditionalFormatting sqref="A69:C69">
    <cfRule type="cellIs" dxfId="30" priority="18" operator="lessThan">
      <formula>$D$6</formula>
    </cfRule>
  </conditionalFormatting>
  <conditionalFormatting sqref="A76:C76">
    <cfRule type="cellIs" dxfId="29" priority="19" operator="greaterThan">
      <formula>$D$6</formula>
    </cfRule>
  </conditionalFormatting>
  <conditionalFormatting sqref="A76:C76">
    <cfRule type="cellIs" dxfId="28" priority="20" operator="lessThan">
      <formula>$D$6</formula>
    </cfRule>
  </conditionalFormatting>
  <conditionalFormatting sqref="A83:C83">
    <cfRule type="cellIs" dxfId="27" priority="21" operator="greaterThan">
      <formula>$D$6</formula>
    </cfRule>
  </conditionalFormatting>
  <conditionalFormatting sqref="A83:C83">
    <cfRule type="cellIs" dxfId="26" priority="22" operator="lessThan">
      <formula>$D$6</formula>
    </cfRule>
  </conditionalFormatting>
  <conditionalFormatting sqref="D90:D101">
    <cfRule type="cellIs" dxfId="25" priority="23" operator="greaterThanOrEqual">
      <formula>0</formula>
    </cfRule>
  </conditionalFormatting>
  <conditionalFormatting sqref="D90:D101">
    <cfRule type="cellIs" dxfId="24" priority="24" operator="lessThanOrEqual">
      <formula>126000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FFDA-6F01-40DA-BE11-9BD685F2AEC2}">
  <dimension ref="A1:BG130"/>
  <sheetViews>
    <sheetView workbookViewId="0">
      <pane ySplit="1" topLeftCell="A2" activePane="bottomLeft" state="frozen"/>
      <selection activeCell="AU1" sqref="AU1"/>
      <selection pane="bottomLeft" activeCell="E9" sqref="E9"/>
    </sheetView>
  </sheetViews>
  <sheetFormatPr defaultRowHeight="15" x14ac:dyDescent="0.25"/>
  <cols>
    <col min="1" max="1" width="3.85546875" customWidth="1"/>
    <col min="2" max="2" width="12.140625" customWidth="1"/>
    <col min="3" max="3" width="17.42578125" customWidth="1"/>
    <col min="4" max="5" width="10.28515625" customWidth="1"/>
    <col min="6" max="6" width="13" customWidth="1"/>
    <col min="7" max="7" width="4.7109375" customWidth="1"/>
    <col min="8" max="8" width="11" customWidth="1"/>
    <col min="9" max="9" width="19" customWidth="1"/>
    <col min="10" max="10" width="1.85546875" customWidth="1"/>
    <col min="11" max="11" width="11" hidden="1" customWidth="1"/>
    <col min="12" max="12" width="10.7109375" hidden="1" customWidth="1"/>
    <col min="13" max="15" width="10.28515625" hidden="1" customWidth="1"/>
    <col min="16" max="16" width="13.140625" hidden="1" customWidth="1"/>
    <col min="17" max="17" width="9.5703125" hidden="1" customWidth="1"/>
    <col min="18" max="18" width="11.28515625" hidden="1" customWidth="1"/>
    <col min="19" max="19" width="15" hidden="1" customWidth="1"/>
    <col min="20" max="20" width="14.85546875" hidden="1" customWidth="1"/>
    <col min="21" max="21" width="11" style="246" customWidth="1"/>
    <col min="22" max="22" width="16" customWidth="1"/>
    <col min="23" max="23" width="10.5703125" customWidth="1"/>
    <col min="24" max="24" width="14.7109375" customWidth="1"/>
    <col min="25" max="25" width="14" customWidth="1"/>
    <col min="26" max="27" width="9.5703125" customWidth="1"/>
    <col min="28" max="28" width="12.140625" customWidth="1"/>
    <col min="29" max="29" width="13.28515625" customWidth="1"/>
    <col min="30" max="30" width="13.42578125" customWidth="1"/>
    <col min="31" max="31" width="10.5703125" customWidth="1"/>
    <col min="32" max="32" width="11.140625" customWidth="1"/>
    <col min="33" max="33" width="15" customWidth="1"/>
    <col min="34" max="34" width="12.28515625" customWidth="1"/>
    <col min="35" max="35" width="9.5703125" customWidth="1"/>
    <col min="36" max="36" width="16.85546875" customWidth="1"/>
    <col min="37" max="37" width="13.85546875" customWidth="1"/>
    <col min="38" max="39" width="15.7109375" customWidth="1"/>
    <col min="40" max="40" width="15.85546875" customWidth="1"/>
    <col min="41" max="41" width="10.5703125" customWidth="1"/>
    <col min="42" max="42" width="1.28515625" customWidth="1"/>
    <col min="43" max="43" width="13.28515625" bestFit="1" customWidth="1"/>
    <col min="45" max="45" width="12.140625" bestFit="1" customWidth="1"/>
    <col min="46" max="46" width="13.28515625" bestFit="1" customWidth="1"/>
    <col min="47" max="48" width="12.85546875" customWidth="1"/>
    <col min="49" max="49" width="12.28515625" customWidth="1"/>
    <col min="51" max="51" width="14.140625" customWidth="1"/>
    <col min="52" max="59" width="0" hidden="1" customWidth="1"/>
  </cols>
  <sheetData>
    <row r="1" spans="1:59" x14ac:dyDescent="0.25">
      <c r="A1" s="62" t="s">
        <v>21</v>
      </c>
      <c r="B1" s="63" t="s">
        <v>22</v>
      </c>
      <c r="C1" s="63" t="s">
        <v>23</v>
      </c>
      <c r="D1" s="63" t="s">
        <v>24</v>
      </c>
      <c r="E1" s="63" t="s">
        <v>25</v>
      </c>
      <c r="F1" s="63" t="s">
        <v>26</v>
      </c>
      <c r="G1" s="63" t="s">
        <v>27</v>
      </c>
      <c r="H1" s="63" t="s">
        <v>28</v>
      </c>
      <c r="I1" s="63" t="s">
        <v>29</v>
      </c>
      <c r="J1" s="64"/>
      <c r="K1" s="65" t="s">
        <v>47</v>
      </c>
      <c r="L1" s="65" t="s">
        <v>48</v>
      </c>
      <c r="M1" s="66" t="s">
        <v>49</v>
      </c>
      <c r="N1" s="66" t="s">
        <v>43</v>
      </c>
      <c r="O1" s="66" t="s">
        <v>50</v>
      </c>
      <c r="P1" s="66" t="s">
        <v>45</v>
      </c>
      <c r="Q1" s="66" t="s">
        <v>163</v>
      </c>
      <c r="R1" s="67" t="s">
        <v>51</v>
      </c>
      <c r="S1" s="68" t="s">
        <v>52</v>
      </c>
      <c r="T1" s="68" t="s">
        <v>53</v>
      </c>
      <c r="U1" s="13" t="s">
        <v>55</v>
      </c>
      <c r="V1" s="69" t="s">
        <v>6</v>
      </c>
      <c r="W1" s="69" t="s">
        <v>56</v>
      </c>
      <c r="X1" s="69" t="s">
        <v>164</v>
      </c>
      <c r="Y1" s="69" t="s">
        <v>57</v>
      </c>
      <c r="Z1" s="69" t="s">
        <v>58</v>
      </c>
      <c r="AA1" s="69" t="s">
        <v>43</v>
      </c>
      <c r="AB1" s="69" t="s">
        <v>165</v>
      </c>
      <c r="AC1" s="69" t="s">
        <v>166</v>
      </c>
      <c r="AD1" s="69" t="s">
        <v>167</v>
      </c>
      <c r="AE1" s="13" t="s">
        <v>59</v>
      </c>
      <c r="AF1" s="69" t="s">
        <v>60</v>
      </c>
      <c r="AG1" s="69" t="s">
        <v>61</v>
      </c>
      <c r="AH1" s="69" t="s">
        <v>62</v>
      </c>
      <c r="AI1" s="69" t="s">
        <v>63</v>
      </c>
      <c r="AJ1" s="69" t="s">
        <v>44</v>
      </c>
      <c r="AK1" s="67" t="s">
        <v>64</v>
      </c>
      <c r="AL1" s="70" t="s">
        <v>65</v>
      </c>
      <c r="AM1" s="70" t="s">
        <v>168</v>
      </c>
      <c r="AN1" s="70" t="s">
        <v>169</v>
      </c>
      <c r="AO1" s="13" t="s">
        <v>68</v>
      </c>
      <c r="AQ1" s="124" t="s">
        <v>335</v>
      </c>
      <c r="AR1" s="124" t="s">
        <v>336</v>
      </c>
      <c r="AS1" s="124" t="s">
        <v>337</v>
      </c>
      <c r="AT1" s="124" t="s">
        <v>338</v>
      </c>
      <c r="AU1" s="124" t="s">
        <v>340</v>
      </c>
      <c r="AV1" s="124" t="s">
        <v>477</v>
      </c>
      <c r="AW1" s="124" t="s">
        <v>341</v>
      </c>
      <c r="AX1" s="124" t="s">
        <v>357</v>
      </c>
      <c r="AY1" s="124"/>
      <c r="AZ1" s="64"/>
      <c r="BA1" s="125" t="s">
        <v>358</v>
      </c>
      <c r="BB1" s="125" t="s">
        <v>359</v>
      </c>
      <c r="BC1" s="125" t="s">
        <v>20</v>
      </c>
      <c r="BD1" s="125" t="s">
        <v>354</v>
      </c>
      <c r="BE1" s="126" t="s">
        <v>360</v>
      </c>
      <c r="BF1" s="126" t="s">
        <v>361</v>
      </c>
      <c r="BG1" s="127" t="s">
        <v>35</v>
      </c>
    </row>
    <row r="2" spans="1:59" s="35" customFormat="1" x14ac:dyDescent="0.25">
      <c r="A2" s="47">
        <v>1</v>
      </c>
      <c r="B2" s="273">
        <v>45670</v>
      </c>
      <c r="C2" s="274" t="s">
        <v>170</v>
      </c>
      <c r="D2" s="274" t="s">
        <v>170</v>
      </c>
      <c r="E2" s="274" t="s">
        <v>74</v>
      </c>
      <c r="F2" s="274" t="s">
        <v>90</v>
      </c>
      <c r="G2" s="274" t="s">
        <v>171</v>
      </c>
      <c r="H2" s="274">
        <v>602</v>
      </c>
      <c r="I2" s="274" t="s">
        <v>170</v>
      </c>
      <c r="J2" s="276"/>
      <c r="K2" s="277">
        <v>0</v>
      </c>
      <c r="L2" s="277">
        <v>0</v>
      </c>
      <c r="M2" s="277">
        <v>0</v>
      </c>
      <c r="N2" s="277">
        <v>0</v>
      </c>
      <c r="O2" s="277">
        <v>0</v>
      </c>
      <c r="P2" s="277">
        <v>0</v>
      </c>
      <c r="Q2" s="277"/>
      <c r="R2" s="278">
        <f t="shared" ref="R2:R65" si="0">K2+L2</f>
        <v>0</v>
      </c>
      <c r="S2" s="279">
        <f>(K2+L2)*U2</f>
        <v>0</v>
      </c>
      <c r="T2" s="279">
        <f t="shared" ref="T2:T28" si="1">S2+P2+O2+N2+M2</f>
        <v>0</v>
      </c>
      <c r="U2" s="280">
        <v>500</v>
      </c>
      <c r="V2" s="277">
        <v>95</v>
      </c>
      <c r="W2" s="277">
        <v>0</v>
      </c>
      <c r="X2" s="277">
        <v>0</v>
      </c>
      <c r="Y2" s="277">
        <v>0</v>
      </c>
      <c r="Z2" s="277">
        <v>0</v>
      </c>
      <c r="AA2" s="277">
        <v>0</v>
      </c>
      <c r="AB2" s="277">
        <v>0</v>
      </c>
      <c r="AC2" s="277">
        <v>0</v>
      </c>
      <c r="AD2" s="277">
        <v>0</v>
      </c>
      <c r="AE2" s="280">
        <v>0</v>
      </c>
      <c r="AF2" s="277">
        <v>0</v>
      </c>
      <c r="AG2" s="277">
        <v>0</v>
      </c>
      <c r="AH2" s="277">
        <v>0</v>
      </c>
      <c r="AI2" s="277">
        <v>0</v>
      </c>
      <c r="AJ2" s="277">
        <v>0</v>
      </c>
      <c r="AK2" s="270">
        <f t="shared" ref="AK2:AK33" si="2">V2+W2</f>
        <v>95</v>
      </c>
      <c r="AL2" s="271">
        <f t="shared" ref="AL2:AL41" si="3">AK2*U2</f>
        <v>47500</v>
      </c>
      <c r="AM2" s="268">
        <f t="shared" ref="AM2:AM32" si="4">AL2+AJ2+AI2+AH2+AG2+AF2+AE2+AD2++AC2+AB2+AA2+Z2+Y2+X2</f>
        <v>47500</v>
      </c>
      <c r="AN2" s="271">
        <f>AM2+T2-250</f>
        <v>47250</v>
      </c>
      <c r="AO2" s="272">
        <f t="shared" ref="AO2:AO41" si="5">AE2+U2</f>
        <v>500</v>
      </c>
      <c r="AQ2" s="16">
        <v>0</v>
      </c>
      <c r="AR2" s="16">
        <v>0</v>
      </c>
      <c r="AS2" s="16">
        <v>0</v>
      </c>
      <c r="AT2" s="16">
        <v>0</v>
      </c>
      <c r="AU2" s="16">
        <v>0</v>
      </c>
      <c r="AV2" s="16"/>
      <c r="AW2" s="282">
        <v>0</v>
      </c>
      <c r="AX2" s="16">
        <v>0</v>
      </c>
      <c r="AY2" s="16">
        <f>AO2</f>
        <v>500</v>
      </c>
      <c r="AZ2" s="128"/>
      <c r="BA2" s="16"/>
      <c r="BB2" s="16"/>
      <c r="BC2" s="16"/>
      <c r="BD2" s="16"/>
      <c r="BE2" s="16"/>
      <c r="BF2" s="16"/>
      <c r="BG2" s="21"/>
    </row>
    <row r="3" spans="1:59" s="35" customFormat="1" x14ac:dyDescent="0.25">
      <c r="A3" s="47">
        <v>2</v>
      </c>
      <c r="B3" s="273">
        <v>45675</v>
      </c>
      <c r="C3" s="274" t="s">
        <v>172</v>
      </c>
      <c r="D3" s="274" t="s">
        <v>173</v>
      </c>
      <c r="E3" s="274" t="s">
        <v>3</v>
      </c>
      <c r="F3" s="274" t="s">
        <v>9</v>
      </c>
      <c r="G3" s="274" t="s">
        <v>171</v>
      </c>
      <c r="H3" s="274">
        <v>568</v>
      </c>
      <c r="I3" s="274" t="s">
        <v>174</v>
      </c>
      <c r="J3" s="281"/>
      <c r="K3" s="282">
        <v>0</v>
      </c>
      <c r="L3" s="282">
        <v>36.942</v>
      </c>
      <c r="M3" s="282">
        <v>0</v>
      </c>
      <c r="N3" s="282">
        <v>0</v>
      </c>
      <c r="O3" s="282">
        <v>0</v>
      </c>
      <c r="P3" s="282">
        <v>0</v>
      </c>
      <c r="Q3" s="282"/>
      <c r="R3" s="278">
        <f t="shared" si="0"/>
        <v>36.942</v>
      </c>
      <c r="S3" s="279">
        <f>K3+L3*U3</f>
        <v>13262.178</v>
      </c>
      <c r="T3" s="279">
        <f t="shared" si="1"/>
        <v>13262.178</v>
      </c>
      <c r="U3" s="280">
        <v>359</v>
      </c>
      <c r="V3" s="282">
        <v>116.6574</v>
      </c>
      <c r="W3" s="282">
        <v>0</v>
      </c>
      <c r="X3" s="282">
        <v>0</v>
      </c>
      <c r="Y3" s="282"/>
      <c r="Z3" s="282"/>
      <c r="AA3" s="282"/>
      <c r="AB3" s="282"/>
      <c r="AC3" s="282"/>
      <c r="AD3" s="282"/>
      <c r="AE3" s="283"/>
      <c r="AF3" s="282"/>
      <c r="AG3" s="282"/>
      <c r="AH3" s="282"/>
      <c r="AI3" s="282"/>
      <c r="AJ3" s="282"/>
      <c r="AK3" s="270">
        <f t="shared" si="2"/>
        <v>116.6574</v>
      </c>
      <c r="AL3" s="268">
        <f t="shared" si="3"/>
        <v>41880.006600000001</v>
      </c>
      <c r="AM3" s="268">
        <f t="shared" si="4"/>
        <v>41880.006600000001</v>
      </c>
      <c r="AN3" s="271">
        <f>AM3+T3</f>
        <v>55142.184600000001</v>
      </c>
      <c r="AO3" s="272">
        <f t="shared" si="5"/>
        <v>359</v>
      </c>
      <c r="AQ3" s="10">
        <v>0</v>
      </c>
      <c r="AR3" s="10">
        <v>0</v>
      </c>
      <c r="AS3" s="10">
        <v>0</v>
      </c>
      <c r="AT3" s="10">
        <v>0</v>
      </c>
      <c r="AU3" s="10"/>
      <c r="AV3" s="10"/>
      <c r="AW3" s="10">
        <v>0</v>
      </c>
      <c r="AX3" s="10">
        <v>0</v>
      </c>
      <c r="AY3" s="10">
        <v>0</v>
      </c>
      <c r="AZ3" s="129"/>
      <c r="BA3" s="10">
        <v>0</v>
      </c>
      <c r="BB3" s="130"/>
      <c r="BC3" s="130"/>
      <c r="BD3" s="21"/>
      <c r="BE3" s="130">
        <v>4609.32</v>
      </c>
      <c r="BF3" s="131">
        <v>3094.84</v>
      </c>
      <c r="BG3" s="132">
        <f>600+400</f>
        <v>1000</v>
      </c>
    </row>
    <row r="4" spans="1:59" s="35" customFormat="1" x14ac:dyDescent="0.25">
      <c r="A4" s="47">
        <v>3</v>
      </c>
      <c r="B4" s="273">
        <v>45675</v>
      </c>
      <c r="C4" s="274" t="s">
        <v>175</v>
      </c>
      <c r="D4" s="274" t="s">
        <v>70</v>
      </c>
      <c r="E4" s="274" t="s">
        <v>3</v>
      </c>
      <c r="F4" s="274" t="s">
        <v>17</v>
      </c>
      <c r="G4" s="274" t="s">
        <v>171</v>
      </c>
      <c r="H4" s="274">
        <v>571</v>
      </c>
      <c r="I4" s="274" t="s">
        <v>176</v>
      </c>
      <c r="J4" s="276"/>
      <c r="K4" s="277">
        <v>0</v>
      </c>
      <c r="L4" s="277">
        <v>0</v>
      </c>
      <c r="M4" s="277">
        <v>0</v>
      </c>
      <c r="N4" s="277">
        <v>0</v>
      </c>
      <c r="O4" s="277">
        <v>0</v>
      </c>
      <c r="P4" s="277">
        <v>0</v>
      </c>
      <c r="Q4" s="277"/>
      <c r="R4" s="278">
        <f t="shared" si="0"/>
        <v>0</v>
      </c>
      <c r="S4" s="279">
        <f t="shared" ref="S4:S35" si="6">(K4+L4)*U4</f>
        <v>0</v>
      </c>
      <c r="T4" s="279">
        <f t="shared" si="1"/>
        <v>0</v>
      </c>
      <c r="U4" s="280">
        <v>65</v>
      </c>
      <c r="V4" s="277">
        <v>80</v>
      </c>
      <c r="W4" s="277">
        <v>0</v>
      </c>
      <c r="X4" s="277">
        <v>1080</v>
      </c>
      <c r="Y4" s="277">
        <v>0</v>
      </c>
      <c r="Z4" s="277">
        <v>0</v>
      </c>
      <c r="AA4" s="277">
        <v>0</v>
      </c>
      <c r="AB4" s="277">
        <v>0</v>
      </c>
      <c r="AC4" s="277">
        <v>0</v>
      </c>
      <c r="AD4" s="277">
        <v>0</v>
      </c>
      <c r="AE4" s="280">
        <v>0</v>
      </c>
      <c r="AF4" s="277">
        <v>0</v>
      </c>
      <c r="AG4" s="277">
        <v>0</v>
      </c>
      <c r="AH4" s="277">
        <v>0</v>
      </c>
      <c r="AI4" s="277">
        <v>0</v>
      </c>
      <c r="AJ4" s="277">
        <v>0</v>
      </c>
      <c r="AK4" s="270">
        <f t="shared" si="2"/>
        <v>80</v>
      </c>
      <c r="AL4" s="268">
        <f t="shared" si="3"/>
        <v>5200</v>
      </c>
      <c r="AM4" s="268">
        <f t="shared" si="4"/>
        <v>6280</v>
      </c>
      <c r="AN4" s="271">
        <f>AM4+T4</f>
        <v>6280</v>
      </c>
      <c r="AO4" s="272">
        <f t="shared" si="5"/>
        <v>65</v>
      </c>
      <c r="AQ4" s="10">
        <v>0</v>
      </c>
      <c r="AR4" s="10">
        <v>0</v>
      </c>
      <c r="AS4" s="16">
        <v>0</v>
      </c>
      <c r="AT4" s="16">
        <v>0</v>
      </c>
      <c r="AU4" s="16"/>
      <c r="AV4" s="16"/>
      <c r="AW4" s="16">
        <v>0</v>
      </c>
      <c r="AX4" s="16">
        <v>0</v>
      </c>
      <c r="AY4" s="16">
        <v>0</v>
      </c>
      <c r="AZ4" s="129"/>
      <c r="BA4" s="16"/>
      <c r="BB4" s="16"/>
      <c r="BC4" s="16"/>
      <c r="BD4" s="16"/>
      <c r="BE4" s="10"/>
      <c r="BF4" s="10"/>
      <c r="BG4" s="21"/>
    </row>
    <row r="5" spans="1:59" s="35" customFormat="1" x14ac:dyDescent="0.25">
      <c r="A5" s="47">
        <v>4</v>
      </c>
      <c r="B5" s="273">
        <v>45680</v>
      </c>
      <c r="C5" s="274" t="s">
        <v>177</v>
      </c>
      <c r="D5" s="274" t="s">
        <v>5</v>
      </c>
      <c r="E5" s="274" t="s">
        <v>178</v>
      </c>
      <c r="F5" s="274" t="s">
        <v>113</v>
      </c>
      <c r="G5" s="274" t="s">
        <v>171</v>
      </c>
      <c r="H5" s="274">
        <v>569</v>
      </c>
      <c r="I5" s="274" t="s">
        <v>179</v>
      </c>
      <c r="J5" s="276"/>
      <c r="K5" s="277">
        <v>30</v>
      </c>
      <c r="L5" s="277">
        <v>0</v>
      </c>
      <c r="M5" s="277">
        <v>0</v>
      </c>
      <c r="N5" s="277">
        <v>0</v>
      </c>
      <c r="O5" s="277">
        <v>0</v>
      </c>
      <c r="P5" s="277">
        <v>0</v>
      </c>
      <c r="Q5" s="277"/>
      <c r="R5" s="278">
        <f t="shared" si="0"/>
        <v>30</v>
      </c>
      <c r="S5" s="279">
        <f t="shared" si="6"/>
        <v>3840</v>
      </c>
      <c r="T5" s="279">
        <f t="shared" si="1"/>
        <v>3840</v>
      </c>
      <c r="U5" s="280">
        <v>128</v>
      </c>
      <c r="V5" s="277">
        <v>70</v>
      </c>
      <c r="W5" s="277">
        <v>0</v>
      </c>
      <c r="X5" s="277">
        <f>1900+300</f>
        <v>2200</v>
      </c>
      <c r="Y5" s="277">
        <v>0</v>
      </c>
      <c r="Z5" s="277">
        <v>0</v>
      </c>
      <c r="AA5" s="277">
        <v>0</v>
      </c>
      <c r="AB5" s="277">
        <v>0</v>
      </c>
      <c r="AC5" s="277">
        <v>0</v>
      </c>
      <c r="AD5" s="277">
        <v>0</v>
      </c>
      <c r="AE5" s="280">
        <v>0</v>
      </c>
      <c r="AF5" s="277">
        <v>0</v>
      </c>
      <c r="AG5" s="277">
        <v>0</v>
      </c>
      <c r="AH5" s="277">
        <v>0</v>
      </c>
      <c r="AI5" s="277">
        <v>0</v>
      </c>
      <c r="AJ5" s="277">
        <v>0</v>
      </c>
      <c r="AK5" s="270">
        <f t="shared" si="2"/>
        <v>70</v>
      </c>
      <c r="AL5" s="271">
        <f t="shared" si="3"/>
        <v>8960</v>
      </c>
      <c r="AM5" s="268">
        <f t="shared" si="4"/>
        <v>11160</v>
      </c>
      <c r="AN5" s="271">
        <f>AM5+T5</f>
        <v>15000</v>
      </c>
      <c r="AO5" s="272">
        <f t="shared" si="5"/>
        <v>128</v>
      </c>
      <c r="AQ5" s="10">
        <v>0</v>
      </c>
      <c r="AR5" s="10">
        <v>0</v>
      </c>
      <c r="AS5" s="16">
        <v>0</v>
      </c>
      <c r="AT5" s="16">
        <v>0</v>
      </c>
      <c r="AU5" s="16">
        <v>0</v>
      </c>
      <c r="AV5" s="16"/>
      <c r="AW5" s="16">
        <v>0</v>
      </c>
      <c r="AX5" s="16">
        <v>0</v>
      </c>
      <c r="AY5" s="16">
        <v>0</v>
      </c>
      <c r="AZ5" s="128">
        <v>0</v>
      </c>
      <c r="BA5" s="16"/>
      <c r="BB5" s="16"/>
      <c r="BC5" s="16"/>
      <c r="BD5" s="16"/>
      <c r="BE5" s="10"/>
      <c r="BF5" s="10"/>
      <c r="BG5" s="21"/>
    </row>
    <row r="6" spans="1:59" s="35" customFormat="1" x14ac:dyDescent="0.25">
      <c r="A6" s="47">
        <v>5</v>
      </c>
      <c r="B6" s="273">
        <v>45682</v>
      </c>
      <c r="C6" s="274" t="s">
        <v>180</v>
      </c>
      <c r="D6" s="274" t="s">
        <v>16</v>
      </c>
      <c r="E6" s="274" t="s">
        <v>3</v>
      </c>
      <c r="F6" s="274" t="s">
        <v>9</v>
      </c>
      <c r="G6" s="274" t="s">
        <v>181</v>
      </c>
      <c r="H6" s="274">
        <v>570</v>
      </c>
      <c r="I6" s="274" t="s">
        <v>13</v>
      </c>
      <c r="J6" s="276"/>
      <c r="K6" s="277">
        <v>0</v>
      </c>
      <c r="L6" s="277">
        <v>0</v>
      </c>
      <c r="M6" s="277">
        <v>0</v>
      </c>
      <c r="N6" s="277">
        <v>0</v>
      </c>
      <c r="O6" s="277">
        <v>0</v>
      </c>
      <c r="P6" s="277">
        <v>0</v>
      </c>
      <c r="Q6" s="277"/>
      <c r="R6" s="278">
        <f t="shared" si="0"/>
        <v>0</v>
      </c>
      <c r="S6" s="279">
        <f t="shared" si="6"/>
        <v>0</v>
      </c>
      <c r="T6" s="279">
        <f t="shared" si="1"/>
        <v>0</v>
      </c>
      <c r="U6" s="280">
        <v>2000</v>
      </c>
      <c r="V6" s="277">
        <v>120</v>
      </c>
      <c r="W6" s="277">
        <v>0</v>
      </c>
      <c r="X6" s="277">
        <v>0</v>
      </c>
      <c r="Y6" s="277">
        <v>0</v>
      </c>
      <c r="Z6" s="277">
        <v>0</v>
      </c>
      <c r="AA6" s="277">
        <v>0</v>
      </c>
      <c r="AB6" s="277">
        <v>0</v>
      </c>
      <c r="AC6" s="277">
        <v>0</v>
      </c>
      <c r="AD6" s="277">
        <v>0</v>
      </c>
      <c r="AE6" s="280">
        <v>0</v>
      </c>
      <c r="AF6" s="277">
        <v>0</v>
      </c>
      <c r="AG6" s="277"/>
      <c r="AH6" s="277"/>
      <c r="AI6" s="277"/>
      <c r="AJ6" s="277"/>
      <c r="AK6" s="270">
        <f t="shared" si="2"/>
        <v>120</v>
      </c>
      <c r="AL6" s="271">
        <f t="shared" si="3"/>
        <v>240000</v>
      </c>
      <c r="AM6" s="268">
        <f t="shared" si="4"/>
        <v>240000</v>
      </c>
      <c r="AN6" s="271">
        <f>AM6+T6</f>
        <v>240000</v>
      </c>
      <c r="AO6" s="272">
        <f t="shared" si="5"/>
        <v>2000</v>
      </c>
      <c r="AQ6" s="10">
        <v>0</v>
      </c>
      <c r="AR6" s="10">
        <v>0</v>
      </c>
      <c r="AS6" s="16">
        <v>0</v>
      </c>
      <c r="AT6" s="16">
        <f>AN6*10%</f>
        <v>24000</v>
      </c>
      <c r="AU6" s="16">
        <v>0</v>
      </c>
      <c r="AV6" s="16">
        <f>AT6</f>
        <v>24000</v>
      </c>
      <c r="AW6" s="16">
        <v>0</v>
      </c>
      <c r="AX6" s="16">
        <v>0</v>
      </c>
      <c r="AY6" s="16">
        <v>0</v>
      </c>
      <c r="AZ6" s="128"/>
      <c r="BA6" s="16"/>
      <c r="BB6" s="16"/>
      <c r="BC6" s="16"/>
      <c r="BD6" s="16"/>
      <c r="BE6" s="10"/>
      <c r="BF6" s="10"/>
      <c r="BG6" s="21"/>
    </row>
    <row r="7" spans="1:59" s="35" customFormat="1" x14ac:dyDescent="0.25">
      <c r="A7" s="47">
        <v>6</v>
      </c>
      <c r="B7" s="273">
        <v>45685</v>
      </c>
      <c r="C7" s="274" t="s">
        <v>170</v>
      </c>
      <c r="D7" s="274" t="s">
        <v>182</v>
      </c>
      <c r="E7" s="274" t="s">
        <v>74</v>
      </c>
      <c r="F7" s="274" t="s">
        <v>170</v>
      </c>
      <c r="G7" s="274" t="s">
        <v>171</v>
      </c>
      <c r="H7" s="274">
        <v>575</v>
      </c>
      <c r="I7" s="274" t="s">
        <v>183</v>
      </c>
      <c r="J7" s="276"/>
      <c r="K7" s="277">
        <v>0</v>
      </c>
      <c r="L7" s="277">
        <v>0</v>
      </c>
      <c r="M7" s="277">
        <v>0</v>
      </c>
      <c r="N7" s="277">
        <v>0</v>
      </c>
      <c r="O7" s="277">
        <v>0</v>
      </c>
      <c r="P7" s="277">
        <v>1320</v>
      </c>
      <c r="Q7" s="277"/>
      <c r="R7" s="278">
        <f t="shared" si="0"/>
        <v>0</v>
      </c>
      <c r="S7" s="279">
        <f t="shared" si="6"/>
        <v>0</v>
      </c>
      <c r="T7" s="279">
        <f t="shared" si="1"/>
        <v>1320</v>
      </c>
      <c r="U7" s="280">
        <v>220</v>
      </c>
      <c r="V7" s="277">
        <f>16.9+39.9</f>
        <v>56.8</v>
      </c>
      <c r="W7" s="277">
        <v>0</v>
      </c>
      <c r="X7" s="277">
        <v>1742</v>
      </c>
      <c r="Y7" s="277">
        <v>0</v>
      </c>
      <c r="Z7" s="277">
        <v>0</v>
      </c>
      <c r="AA7" s="277">
        <v>0</v>
      </c>
      <c r="AB7" s="277">
        <v>0</v>
      </c>
      <c r="AC7" s="277">
        <v>0</v>
      </c>
      <c r="AD7" s="277">
        <v>0</v>
      </c>
      <c r="AE7" s="280">
        <v>0</v>
      </c>
      <c r="AF7" s="277">
        <v>0</v>
      </c>
      <c r="AG7" s="277">
        <v>0</v>
      </c>
      <c r="AH7" s="277">
        <v>0</v>
      </c>
      <c r="AI7" s="277">
        <v>0</v>
      </c>
      <c r="AJ7" s="277">
        <v>0</v>
      </c>
      <c r="AK7" s="270">
        <f t="shared" si="2"/>
        <v>56.8</v>
      </c>
      <c r="AL7" s="271">
        <f t="shared" si="3"/>
        <v>12496</v>
      </c>
      <c r="AM7" s="268">
        <f t="shared" si="4"/>
        <v>14238</v>
      </c>
      <c r="AN7" s="271">
        <f>AM7+T7</f>
        <v>15558</v>
      </c>
      <c r="AO7" s="272">
        <f t="shared" si="5"/>
        <v>220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/>
      <c r="AW7" s="29">
        <f>AN7*10%</f>
        <v>1555.8000000000002</v>
      </c>
      <c r="AX7" s="10">
        <v>0</v>
      </c>
      <c r="AY7" s="10">
        <v>0</v>
      </c>
      <c r="AZ7" s="128"/>
      <c r="BA7" s="16"/>
      <c r="BB7" s="16"/>
      <c r="BC7" s="16"/>
      <c r="BD7" s="16"/>
      <c r="BE7" s="16"/>
      <c r="BF7" s="16"/>
      <c r="BG7" s="21"/>
    </row>
    <row r="8" spans="1:59" s="35" customFormat="1" x14ac:dyDescent="0.25">
      <c r="A8" s="47">
        <v>7</v>
      </c>
      <c r="B8" s="273">
        <v>45686</v>
      </c>
      <c r="C8" s="273" t="s">
        <v>184</v>
      </c>
      <c r="D8" s="274" t="s">
        <v>185</v>
      </c>
      <c r="E8" s="274" t="s">
        <v>74</v>
      </c>
      <c r="F8" s="274" t="s">
        <v>90</v>
      </c>
      <c r="G8" s="274" t="s">
        <v>171</v>
      </c>
      <c r="H8" s="274">
        <v>578</v>
      </c>
      <c r="I8" s="274" t="s">
        <v>186</v>
      </c>
      <c r="J8" s="284"/>
      <c r="K8" s="285">
        <f>12</f>
        <v>12</v>
      </c>
      <c r="L8" s="285">
        <v>0</v>
      </c>
      <c r="M8" s="285">
        <v>0</v>
      </c>
      <c r="N8" s="285">
        <v>0</v>
      </c>
      <c r="O8" s="285">
        <v>0</v>
      </c>
      <c r="P8" s="285">
        <v>0</v>
      </c>
      <c r="Q8" s="285"/>
      <c r="R8" s="278">
        <f t="shared" si="0"/>
        <v>12</v>
      </c>
      <c r="S8" s="279">
        <f t="shared" si="6"/>
        <v>8400</v>
      </c>
      <c r="T8" s="279">
        <f t="shared" si="1"/>
        <v>8400</v>
      </c>
      <c r="U8" s="280">
        <v>700</v>
      </c>
      <c r="V8" s="285">
        <v>60</v>
      </c>
      <c r="W8" s="285">
        <v>0</v>
      </c>
      <c r="X8" s="285">
        <f>3000+6300</f>
        <v>9300</v>
      </c>
      <c r="Y8" s="285">
        <v>0</v>
      </c>
      <c r="Z8" s="285">
        <v>0</v>
      </c>
      <c r="AA8" s="285">
        <v>0</v>
      </c>
      <c r="AB8" s="285"/>
      <c r="AC8" s="285"/>
      <c r="AD8" s="285">
        <v>24370</v>
      </c>
      <c r="AE8" s="283">
        <v>0</v>
      </c>
      <c r="AF8" s="285">
        <v>0</v>
      </c>
      <c r="AG8" s="285">
        <v>0</v>
      </c>
      <c r="AH8" s="285">
        <v>0</v>
      </c>
      <c r="AI8" s="285">
        <v>0</v>
      </c>
      <c r="AJ8" s="285"/>
      <c r="AK8" s="270">
        <f t="shared" si="2"/>
        <v>60</v>
      </c>
      <c r="AL8" s="271">
        <f t="shared" si="3"/>
        <v>42000</v>
      </c>
      <c r="AM8" s="268">
        <f t="shared" si="4"/>
        <v>75670</v>
      </c>
      <c r="AN8" s="271">
        <f>AM8+T8-500</f>
        <v>83570</v>
      </c>
      <c r="AO8" s="272">
        <f t="shared" si="5"/>
        <v>700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/>
      <c r="AW8" s="10">
        <v>0</v>
      </c>
      <c r="AX8" s="10">
        <v>0</v>
      </c>
      <c r="AY8" s="10">
        <v>0</v>
      </c>
      <c r="AZ8" s="128"/>
      <c r="BA8" s="16"/>
      <c r="BB8" s="16"/>
      <c r="BC8" s="16"/>
      <c r="BD8" s="16"/>
      <c r="BE8" s="10"/>
      <c r="BF8" s="10"/>
      <c r="BG8" s="21"/>
    </row>
    <row r="9" spans="1:59" s="35" customFormat="1" x14ac:dyDescent="0.25">
      <c r="A9" s="47">
        <v>8</v>
      </c>
      <c r="B9" s="286">
        <v>45689</v>
      </c>
      <c r="C9" s="287" t="s">
        <v>187</v>
      </c>
      <c r="D9" s="287" t="s">
        <v>79</v>
      </c>
      <c r="E9" s="287" t="s">
        <v>3</v>
      </c>
      <c r="F9" s="287" t="s">
        <v>9</v>
      </c>
      <c r="G9" s="287" t="s">
        <v>171</v>
      </c>
      <c r="H9" s="287">
        <v>572</v>
      </c>
      <c r="I9" s="287" t="s">
        <v>188</v>
      </c>
      <c r="J9" s="276"/>
      <c r="K9" s="277">
        <f>30+0.178917749</f>
        <v>30.178917749</v>
      </c>
      <c r="L9" s="277">
        <v>0</v>
      </c>
      <c r="M9" s="277">
        <v>0</v>
      </c>
      <c r="N9" s="277">
        <v>0</v>
      </c>
      <c r="O9" s="277">
        <v>0</v>
      </c>
      <c r="P9" s="277">
        <v>0</v>
      </c>
      <c r="Q9" s="277"/>
      <c r="R9" s="278">
        <f t="shared" si="0"/>
        <v>30.178917749</v>
      </c>
      <c r="S9" s="279">
        <f t="shared" si="6"/>
        <v>27885.320000076001</v>
      </c>
      <c r="T9" s="279">
        <f t="shared" si="1"/>
        <v>27885.320000076001</v>
      </c>
      <c r="U9" s="280">
        <v>924</v>
      </c>
      <c r="V9" s="277">
        <v>103</v>
      </c>
      <c r="W9" s="277">
        <v>0</v>
      </c>
      <c r="X9" s="277">
        <v>0</v>
      </c>
      <c r="Y9" s="277">
        <v>0</v>
      </c>
      <c r="Z9" s="277">
        <v>0</v>
      </c>
      <c r="AA9" s="277">
        <v>0</v>
      </c>
      <c r="AB9" s="277">
        <v>0</v>
      </c>
      <c r="AC9" s="277">
        <v>0</v>
      </c>
      <c r="AD9" s="277">
        <v>0</v>
      </c>
      <c r="AE9" s="280">
        <v>15.5</v>
      </c>
      <c r="AF9" s="277">
        <v>133.34</v>
      </c>
      <c r="AG9" s="277">
        <f>AE9*AF9</f>
        <v>2066.77</v>
      </c>
      <c r="AH9" s="277">
        <v>0</v>
      </c>
      <c r="AI9" s="277">
        <v>0</v>
      </c>
      <c r="AJ9" s="277">
        <v>0</v>
      </c>
      <c r="AK9" s="270">
        <f t="shared" si="2"/>
        <v>103</v>
      </c>
      <c r="AL9" s="271">
        <f t="shared" si="3"/>
        <v>95172</v>
      </c>
      <c r="AM9" s="268">
        <f t="shared" si="4"/>
        <v>97387.61</v>
      </c>
      <c r="AN9" s="271">
        <f t="shared" ref="AN9:AN33" si="7">AM9+T9</f>
        <v>125272.930000076</v>
      </c>
      <c r="AO9" s="272">
        <f t="shared" si="5"/>
        <v>939.5</v>
      </c>
      <c r="AQ9" s="10">
        <f>AN9*10%</f>
        <v>12527.293000007601</v>
      </c>
      <c r="AR9" s="10">
        <v>0</v>
      </c>
      <c r="AS9" s="16">
        <v>0</v>
      </c>
      <c r="AT9" s="16">
        <v>0</v>
      </c>
      <c r="AU9" s="16">
        <v>0</v>
      </c>
      <c r="AV9" s="16"/>
      <c r="AW9" s="16">
        <v>0</v>
      </c>
      <c r="AX9" s="16">
        <v>0</v>
      </c>
      <c r="AY9" s="16">
        <v>0</v>
      </c>
      <c r="AZ9" s="128"/>
      <c r="BA9" s="16"/>
      <c r="BB9" s="16"/>
      <c r="BC9" s="16"/>
      <c r="BD9" s="16"/>
      <c r="BE9" s="16"/>
      <c r="BF9" s="16"/>
      <c r="BG9" s="21"/>
    </row>
    <row r="10" spans="1:59" s="35" customFormat="1" x14ac:dyDescent="0.25">
      <c r="A10" s="47">
        <v>9</v>
      </c>
      <c r="B10" s="286">
        <v>45696</v>
      </c>
      <c r="C10" s="287" t="s">
        <v>189</v>
      </c>
      <c r="D10" s="287" t="s">
        <v>16</v>
      </c>
      <c r="E10" s="287" t="s">
        <v>3</v>
      </c>
      <c r="F10" s="287" t="s">
        <v>9</v>
      </c>
      <c r="G10" s="287" t="s">
        <v>171</v>
      </c>
      <c r="H10" s="287">
        <v>580</v>
      </c>
      <c r="I10" s="287" t="s">
        <v>13</v>
      </c>
      <c r="J10" s="276"/>
      <c r="K10" s="277">
        <v>0</v>
      </c>
      <c r="L10" s="277">
        <v>0</v>
      </c>
      <c r="M10" s="277">
        <v>0</v>
      </c>
      <c r="N10" s="277">
        <v>0</v>
      </c>
      <c r="O10" s="277">
        <v>0</v>
      </c>
      <c r="P10" s="277">
        <v>0</v>
      </c>
      <c r="Q10" s="277"/>
      <c r="R10" s="278">
        <f t="shared" si="0"/>
        <v>0</v>
      </c>
      <c r="S10" s="279">
        <f t="shared" si="6"/>
        <v>0</v>
      </c>
      <c r="T10" s="279">
        <f t="shared" si="1"/>
        <v>0</v>
      </c>
      <c r="U10" s="280">
        <v>1432</v>
      </c>
      <c r="V10" s="277">
        <v>114.75</v>
      </c>
      <c r="W10" s="277">
        <v>0</v>
      </c>
      <c r="X10" s="277">
        <v>0</v>
      </c>
      <c r="Y10" s="277">
        <v>0</v>
      </c>
      <c r="Z10" s="277">
        <v>0</v>
      </c>
      <c r="AA10" s="277">
        <v>0</v>
      </c>
      <c r="AB10" s="277">
        <v>0</v>
      </c>
      <c r="AC10" s="277">
        <v>0</v>
      </c>
      <c r="AD10" s="277">
        <v>0</v>
      </c>
      <c r="AE10" s="280"/>
      <c r="AF10" s="277"/>
      <c r="AG10" s="277"/>
      <c r="AH10" s="277"/>
      <c r="AI10" s="277"/>
      <c r="AJ10" s="277"/>
      <c r="AK10" s="270">
        <f t="shared" si="2"/>
        <v>114.75</v>
      </c>
      <c r="AL10" s="271">
        <f t="shared" si="3"/>
        <v>164322</v>
      </c>
      <c r="AM10" s="268">
        <f t="shared" si="4"/>
        <v>164322</v>
      </c>
      <c r="AN10" s="271">
        <f t="shared" si="7"/>
        <v>164322</v>
      </c>
      <c r="AO10" s="269">
        <f t="shared" si="5"/>
        <v>1432</v>
      </c>
      <c r="AQ10" s="10">
        <v>0</v>
      </c>
      <c r="AR10" s="10">
        <v>0</v>
      </c>
      <c r="AS10" s="10">
        <v>0</v>
      </c>
      <c r="AT10" s="10">
        <f>AN9*10%</f>
        <v>12527.293000007601</v>
      </c>
      <c r="AU10" s="10">
        <v>0</v>
      </c>
      <c r="AV10" s="29">
        <f>AT10</f>
        <v>12527.293000007601</v>
      </c>
      <c r="AW10" s="10">
        <v>0</v>
      </c>
      <c r="AX10" s="10">
        <v>0</v>
      </c>
      <c r="AY10" s="10">
        <v>0</v>
      </c>
      <c r="AZ10" s="128"/>
      <c r="BA10" s="16"/>
      <c r="BB10" s="16"/>
      <c r="BC10" s="16"/>
      <c r="BD10" s="16"/>
      <c r="BE10" s="10"/>
      <c r="BF10" s="10"/>
      <c r="BG10" s="21"/>
    </row>
    <row r="11" spans="1:59" s="35" customFormat="1" x14ac:dyDescent="0.25">
      <c r="A11" s="47">
        <v>10</v>
      </c>
      <c r="B11" s="286">
        <v>45701</v>
      </c>
      <c r="C11" s="287" t="s">
        <v>190</v>
      </c>
      <c r="D11" s="287" t="s">
        <v>191</v>
      </c>
      <c r="E11" s="287" t="s">
        <v>74</v>
      </c>
      <c r="F11" s="287" t="s">
        <v>192</v>
      </c>
      <c r="G11" s="287" t="s">
        <v>171</v>
      </c>
      <c r="H11" s="287">
        <v>585</v>
      </c>
      <c r="I11" s="287" t="s">
        <v>185</v>
      </c>
      <c r="J11" s="276"/>
      <c r="K11" s="277">
        <v>0</v>
      </c>
      <c r="L11" s="277">
        <v>0</v>
      </c>
      <c r="M11" s="277">
        <v>0</v>
      </c>
      <c r="N11" s="277">
        <v>0</v>
      </c>
      <c r="O11" s="277">
        <v>0</v>
      </c>
      <c r="P11" s="277">
        <v>300</v>
      </c>
      <c r="Q11" s="277"/>
      <c r="R11" s="278">
        <f t="shared" si="0"/>
        <v>0</v>
      </c>
      <c r="S11" s="279">
        <f t="shared" si="6"/>
        <v>0</v>
      </c>
      <c r="T11" s="279">
        <f t="shared" si="1"/>
        <v>300</v>
      </c>
      <c r="U11" s="280">
        <f>60+20</f>
        <v>80</v>
      </c>
      <c r="V11" s="277">
        <v>70</v>
      </c>
      <c r="W11" s="277">
        <v>0</v>
      </c>
      <c r="X11" s="277">
        <f>1500+150</f>
        <v>1650</v>
      </c>
      <c r="Y11" s="277">
        <v>0</v>
      </c>
      <c r="Z11" s="277"/>
      <c r="AA11" s="277"/>
      <c r="AB11" s="277"/>
      <c r="AC11" s="277"/>
      <c r="AD11" s="277"/>
      <c r="AE11" s="280"/>
      <c r="AF11" s="277"/>
      <c r="AG11" s="277"/>
      <c r="AH11" s="277"/>
      <c r="AI11" s="277"/>
      <c r="AJ11" s="277">
        <v>860</v>
      </c>
      <c r="AK11" s="270">
        <f t="shared" si="2"/>
        <v>70</v>
      </c>
      <c r="AL11" s="271">
        <f t="shared" si="3"/>
        <v>5600</v>
      </c>
      <c r="AM11" s="268">
        <f t="shared" si="4"/>
        <v>8110</v>
      </c>
      <c r="AN11" s="271">
        <f t="shared" si="7"/>
        <v>8410</v>
      </c>
      <c r="AO11" s="272">
        <f t="shared" si="5"/>
        <v>80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/>
      <c r="AW11" s="10">
        <v>0</v>
      </c>
      <c r="AX11" s="10">
        <v>0</v>
      </c>
      <c r="AY11" s="10">
        <v>0</v>
      </c>
      <c r="AZ11" s="128"/>
      <c r="BA11" s="16"/>
      <c r="BB11" s="16"/>
      <c r="BC11" s="16"/>
      <c r="BD11" s="16"/>
      <c r="BE11" s="16"/>
      <c r="BF11" s="16"/>
      <c r="BG11" s="21"/>
    </row>
    <row r="12" spans="1:59" s="35" customFormat="1" x14ac:dyDescent="0.25">
      <c r="A12" s="47">
        <v>11</v>
      </c>
      <c r="B12" s="286">
        <v>45703</v>
      </c>
      <c r="C12" s="287" t="s">
        <v>193</v>
      </c>
      <c r="D12" s="287" t="s">
        <v>159</v>
      </c>
      <c r="E12" s="287" t="s">
        <v>74</v>
      </c>
      <c r="F12" s="287" t="s">
        <v>9</v>
      </c>
      <c r="G12" s="287" t="s">
        <v>171</v>
      </c>
      <c r="H12" s="287">
        <v>417</v>
      </c>
      <c r="I12" s="287" t="s">
        <v>13</v>
      </c>
      <c r="J12" s="276"/>
      <c r="K12" s="282">
        <v>39</v>
      </c>
      <c r="L12" s="277">
        <v>0</v>
      </c>
      <c r="M12" s="277"/>
      <c r="N12" s="277"/>
      <c r="O12" s="277"/>
      <c r="P12" s="277"/>
      <c r="Q12" s="277"/>
      <c r="R12" s="278">
        <f t="shared" si="0"/>
        <v>39</v>
      </c>
      <c r="S12" s="279">
        <f t="shared" si="6"/>
        <v>39000</v>
      </c>
      <c r="T12" s="279">
        <f t="shared" si="1"/>
        <v>39000</v>
      </c>
      <c r="U12" s="280">
        <v>1000</v>
      </c>
      <c r="V12" s="282">
        <v>70</v>
      </c>
      <c r="W12" s="282">
        <v>0</v>
      </c>
      <c r="X12" s="277">
        <v>11000</v>
      </c>
      <c r="Y12" s="277"/>
      <c r="Z12" s="277"/>
      <c r="AA12" s="277"/>
      <c r="AB12" s="277"/>
      <c r="AC12" s="277"/>
      <c r="AD12" s="277"/>
      <c r="AE12" s="280"/>
      <c r="AF12" s="277"/>
      <c r="AG12" s="277"/>
      <c r="AH12" s="277"/>
      <c r="AI12" s="277"/>
      <c r="AJ12" s="277"/>
      <c r="AK12" s="270">
        <f t="shared" si="2"/>
        <v>70</v>
      </c>
      <c r="AL12" s="268">
        <f t="shared" si="3"/>
        <v>70000</v>
      </c>
      <c r="AM12" s="268">
        <f t="shared" si="4"/>
        <v>81000</v>
      </c>
      <c r="AN12" s="271">
        <f t="shared" si="7"/>
        <v>120000</v>
      </c>
      <c r="AO12" s="272">
        <f t="shared" si="5"/>
        <v>1000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29">
        <f>AN12*10%</f>
        <v>12000</v>
      </c>
      <c r="AW12" s="10">
        <v>0</v>
      </c>
      <c r="AX12" s="10">
        <v>0</v>
      </c>
      <c r="AY12" s="10">
        <v>0</v>
      </c>
      <c r="AZ12" s="128"/>
      <c r="BA12" s="16"/>
      <c r="BB12" s="16"/>
      <c r="BC12" s="16"/>
      <c r="BD12" s="16"/>
      <c r="BE12" s="10"/>
      <c r="BF12" s="10"/>
      <c r="BG12" s="21"/>
    </row>
    <row r="13" spans="1:59" s="35" customFormat="1" x14ac:dyDescent="0.25">
      <c r="A13" s="47">
        <v>12</v>
      </c>
      <c r="B13" s="286">
        <v>45703</v>
      </c>
      <c r="C13" s="287" t="s">
        <v>194</v>
      </c>
      <c r="D13" s="287" t="s">
        <v>70</v>
      </c>
      <c r="E13" s="287" t="s">
        <v>3</v>
      </c>
      <c r="F13" s="287" t="s">
        <v>9</v>
      </c>
      <c r="G13" s="287" t="s">
        <v>171</v>
      </c>
      <c r="H13" s="287">
        <v>581</v>
      </c>
      <c r="I13" s="287" t="s">
        <v>87</v>
      </c>
      <c r="J13" s="276"/>
      <c r="K13" s="277">
        <v>0</v>
      </c>
      <c r="L13" s="277">
        <v>0</v>
      </c>
      <c r="M13" s="277">
        <v>0</v>
      </c>
      <c r="N13" s="277">
        <v>0</v>
      </c>
      <c r="O13" s="277">
        <v>0</v>
      </c>
      <c r="P13" s="277">
        <v>0</v>
      </c>
      <c r="Q13" s="277"/>
      <c r="R13" s="278">
        <f t="shared" si="0"/>
        <v>0</v>
      </c>
      <c r="S13" s="279">
        <f t="shared" si="6"/>
        <v>0</v>
      </c>
      <c r="T13" s="279">
        <f t="shared" si="1"/>
        <v>0</v>
      </c>
      <c r="U13" s="280">
        <v>580</v>
      </c>
      <c r="V13" s="277">
        <v>90</v>
      </c>
      <c r="W13" s="277">
        <v>0</v>
      </c>
      <c r="X13" s="277">
        <v>0</v>
      </c>
      <c r="Y13" s="277">
        <v>0</v>
      </c>
      <c r="Z13" s="277">
        <v>0</v>
      </c>
      <c r="AA13" s="277">
        <v>0</v>
      </c>
      <c r="AB13" s="277">
        <v>0</v>
      </c>
      <c r="AC13" s="277">
        <v>0</v>
      </c>
      <c r="AD13" s="277">
        <v>0</v>
      </c>
      <c r="AE13" s="280">
        <v>0</v>
      </c>
      <c r="AF13" s="277">
        <v>0</v>
      </c>
      <c r="AG13" s="277">
        <v>0</v>
      </c>
      <c r="AH13" s="277">
        <v>0</v>
      </c>
      <c r="AI13" s="277">
        <v>0</v>
      </c>
      <c r="AJ13" s="277">
        <v>0</v>
      </c>
      <c r="AK13" s="270">
        <f t="shared" si="2"/>
        <v>90</v>
      </c>
      <c r="AL13" s="271">
        <f t="shared" si="3"/>
        <v>52200</v>
      </c>
      <c r="AM13" s="268">
        <f t="shared" si="4"/>
        <v>52200</v>
      </c>
      <c r="AN13" s="271">
        <f t="shared" si="7"/>
        <v>52200</v>
      </c>
      <c r="AO13" s="272">
        <f t="shared" si="5"/>
        <v>580</v>
      </c>
      <c r="AQ13" s="10">
        <v>0</v>
      </c>
      <c r="AR13" s="10">
        <v>0</v>
      </c>
      <c r="AS13" s="16">
        <v>0</v>
      </c>
      <c r="AT13" s="16">
        <f>AN12*10%</f>
        <v>12000</v>
      </c>
      <c r="AU13" s="16">
        <v>0</v>
      </c>
      <c r="AV13" s="16"/>
      <c r="AW13" s="16">
        <v>0</v>
      </c>
      <c r="AX13" s="16">
        <v>0</v>
      </c>
      <c r="AY13" s="16">
        <v>0</v>
      </c>
      <c r="AZ13" s="128"/>
      <c r="BA13" s="16"/>
      <c r="BB13" s="16"/>
      <c r="BC13" s="16"/>
      <c r="BD13" s="16"/>
      <c r="BE13" s="16"/>
      <c r="BF13" s="16"/>
      <c r="BG13" s="21"/>
    </row>
    <row r="14" spans="1:59" x14ac:dyDescent="0.25">
      <c r="A14" s="47">
        <v>13</v>
      </c>
      <c r="B14" s="288">
        <v>45706</v>
      </c>
      <c r="C14" s="289" t="s">
        <v>195</v>
      </c>
      <c r="D14" s="289" t="s">
        <v>93</v>
      </c>
      <c r="E14" s="289" t="s">
        <v>74</v>
      </c>
      <c r="F14" s="289" t="s">
        <v>192</v>
      </c>
      <c r="G14" s="289" t="s">
        <v>171</v>
      </c>
      <c r="H14" s="289">
        <v>589</v>
      </c>
      <c r="I14" s="289" t="s">
        <v>93</v>
      </c>
      <c r="J14" s="276"/>
      <c r="K14" s="277">
        <v>0</v>
      </c>
      <c r="L14" s="277">
        <v>0</v>
      </c>
      <c r="M14" s="277">
        <v>0</v>
      </c>
      <c r="N14" s="277">
        <v>0</v>
      </c>
      <c r="O14" s="277">
        <v>0</v>
      </c>
      <c r="P14" s="277">
        <v>0</v>
      </c>
      <c r="Q14" s="277"/>
      <c r="R14" s="278">
        <f t="shared" si="0"/>
        <v>0</v>
      </c>
      <c r="S14" s="279">
        <f t="shared" si="6"/>
        <v>0</v>
      </c>
      <c r="T14" s="279">
        <f t="shared" si="1"/>
        <v>0</v>
      </c>
      <c r="U14" s="280"/>
      <c r="V14" s="277"/>
      <c r="W14" s="277"/>
      <c r="X14" s="277"/>
      <c r="Y14" s="277"/>
      <c r="Z14" s="277"/>
      <c r="AA14" s="277"/>
      <c r="AB14" s="277"/>
      <c r="AC14" s="277"/>
      <c r="AD14" s="277"/>
      <c r="AE14" s="280"/>
      <c r="AF14" s="277"/>
      <c r="AG14" s="277">
        <v>0</v>
      </c>
      <c r="AH14" s="277"/>
      <c r="AI14" s="277"/>
      <c r="AJ14" s="277"/>
      <c r="AK14" s="73">
        <f t="shared" si="2"/>
        <v>0</v>
      </c>
      <c r="AL14" s="71">
        <f t="shared" si="3"/>
        <v>0</v>
      </c>
      <c r="AM14" s="11">
        <f t="shared" si="4"/>
        <v>0</v>
      </c>
      <c r="AN14" s="71">
        <f t="shared" si="7"/>
        <v>0</v>
      </c>
      <c r="AO14" s="15">
        <f t="shared" si="5"/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/>
      <c r="AW14" s="10">
        <v>0</v>
      </c>
      <c r="AX14" s="10">
        <v>0</v>
      </c>
      <c r="AY14" s="10">
        <v>0</v>
      </c>
      <c r="AZ14" s="128"/>
      <c r="BA14" s="16"/>
      <c r="BB14" s="16"/>
      <c r="BC14" s="16"/>
      <c r="BD14" s="16"/>
      <c r="BE14" s="10"/>
      <c r="BF14" s="10"/>
      <c r="BG14" s="21"/>
    </row>
    <row r="15" spans="1:59" s="35" customFormat="1" x14ac:dyDescent="0.25">
      <c r="A15" s="47">
        <v>14</v>
      </c>
      <c r="B15" s="99">
        <v>45710</v>
      </c>
      <c r="C15" s="100" t="s">
        <v>196</v>
      </c>
      <c r="D15" s="100" t="s">
        <v>79</v>
      </c>
      <c r="E15" s="100" t="s">
        <v>3</v>
      </c>
      <c r="F15" s="100" t="s">
        <v>9</v>
      </c>
      <c r="G15" s="100" t="s">
        <v>171</v>
      </c>
      <c r="H15" s="100">
        <v>509</v>
      </c>
      <c r="I15" s="100" t="s">
        <v>13</v>
      </c>
      <c r="J15" s="59"/>
      <c r="K15" s="45">
        <v>35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/>
      <c r="R15" s="12">
        <f t="shared" si="0"/>
        <v>35</v>
      </c>
      <c r="S15" s="41">
        <f t="shared" si="6"/>
        <v>63000</v>
      </c>
      <c r="T15" s="41">
        <f t="shared" si="1"/>
        <v>63000</v>
      </c>
      <c r="U15" s="49">
        <v>1800</v>
      </c>
      <c r="V15" s="45">
        <f>99</f>
        <v>99</v>
      </c>
      <c r="W15" s="45">
        <v>0</v>
      </c>
      <c r="X15" s="45">
        <v>0</v>
      </c>
      <c r="Y15" s="45"/>
      <c r="Z15" s="45"/>
      <c r="AA15" s="45"/>
      <c r="AB15" s="45"/>
      <c r="AC15" s="45"/>
      <c r="AD15" s="45"/>
      <c r="AE15" s="85">
        <v>749</v>
      </c>
      <c r="AF15" s="45">
        <f>98088/749-0.96</f>
        <v>129.99861148197596</v>
      </c>
      <c r="AG15" s="48">
        <f>AE15*AF15+65*34</f>
        <v>99578.959999999992</v>
      </c>
      <c r="AH15" s="45"/>
      <c r="AI15" s="45"/>
      <c r="AJ15" s="45"/>
      <c r="AK15" s="73">
        <f t="shared" si="2"/>
        <v>99</v>
      </c>
      <c r="AL15" s="41">
        <f t="shared" si="3"/>
        <v>178200</v>
      </c>
      <c r="AM15" s="41">
        <f t="shared" si="4"/>
        <v>278657.95861148194</v>
      </c>
      <c r="AN15" s="83">
        <f t="shared" si="7"/>
        <v>341657.95861148194</v>
      </c>
      <c r="AO15" s="50">
        <f t="shared" si="5"/>
        <v>2549</v>
      </c>
      <c r="AQ15" s="10">
        <f>AN15*10%</f>
        <v>34165.795861148195</v>
      </c>
      <c r="AR15" s="10">
        <v>0</v>
      </c>
      <c r="AS15" s="10">
        <v>0</v>
      </c>
      <c r="AT15" s="10">
        <v>0</v>
      </c>
      <c r="AU15" s="16">
        <v>0</v>
      </c>
      <c r="AV15" s="29">
        <f>AN15*10%</f>
        <v>34165.795861148195</v>
      </c>
      <c r="AW15" s="16">
        <v>0</v>
      </c>
      <c r="AX15" s="16">
        <v>0</v>
      </c>
      <c r="AY15" s="16">
        <v>0</v>
      </c>
      <c r="AZ15" s="128"/>
      <c r="BA15" s="16"/>
      <c r="BB15" s="16"/>
      <c r="BC15" s="16"/>
      <c r="BD15" s="16"/>
      <c r="BE15" s="16"/>
      <c r="BF15" s="16"/>
      <c r="BG15" s="21"/>
    </row>
    <row r="16" spans="1:59" s="35" customFormat="1" x14ac:dyDescent="0.25">
      <c r="A16" s="47">
        <v>15</v>
      </c>
      <c r="B16" s="99">
        <v>45710</v>
      </c>
      <c r="C16" s="100" t="s">
        <v>200</v>
      </c>
      <c r="D16" s="100" t="s">
        <v>70</v>
      </c>
      <c r="E16" s="100" t="s">
        <v>3</v>
      </c>
      <c r="F16" s="100" t="s">
        <v>9</v>
      </c>
      <c r="G16" s="100" t="s">
        <v>171</v>
      </c>
      <c r="H16" s="100">
        <v>582</v>
      </c>
      <c r="I16" s="100" t="s">
        <v>201</v>
      </c>
      <c r="J16" s="39"/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/>
      <c r="R16" s="12">
        <f t="shared" si="0"/>
        <v>0</v>
      </c>
      <c r="S16" s="41">
        <f t="shared" si="6"/>
        <v>0</v>
      </c>
      <c r="T16" s="41">
        <f t="shared" si="1"/>
        <v>0</v>
      </c>
      <c r="U16" s="49">
        <v>1341</v>
      </c>
      <c r="V16" s="40">
        <v>125</v>
      </c>
      <c r="W16" s="40"/>
      <c r="X16" s="40"/>
      <c r="Y16" s="40"/>
      <c r="Z16" s="40"/>
      <c r="AA16" s="40"/>
      <c r="AB16" s="40"/>
      <c r="AC16" s="40"/>
      <c r="AD16" s="40"/>
      <c r="AE16" s="49"/>
      <c r="AF16" s="40"/>
      <c r="AG16" s="40"/>
      <c r="AH16" s="40"/>
      <c r="AI16" s="40"/>
      <c r="AJ16" s="40"/>
      <c r="AK16" s="73">
        <f t="shared" si="2"/>
        <v>125</v>
      </c>
      <c r="AL16" s="83">
        <f t="shared" si="3"/>
        <v>167625</v>
      </c>
      <c r="AM16" s="41">
        <f t="shared" si="4"/>
        <v>167625</v>
      </c>
      <c r="AN16" s="83">
        <f t="shared" si="7"/>
        <v>167625</v>
      </c>
      <c r="AO16" s="49">
        <f t="shared" si="5"/>
        <v>1341</v>
      </c>
      <c r="AQ16" s="10">
        <v>0</v>
      </c>
      <c r="AR16" s="10">
        <v>0</v>
      </c>
      <c r="AS16" s="10">
        <v>0</v>
      </c>
      <c r="AT16" s="10">
        <v>0</v>
      </c>
      <c r="AU16" s="16">
        <f>AN17*10%</f>
        <v>875</v>
      </c>
      <c r="AV16" s="16"/>
      <c r="AW16" s="16">
        <v>0</v>
      </c>
      <c r="AX16" s="16">
        <v>0</v>
      </c>
      <c r="AY16" s="16">
        <v>0</v>
      </c>
      <c r="AZ16" s="128"/>
      <c r="BA16" s="16"/>
      <c r="BB16" s="16"/>
      <c r="BC16" s="16"/>
      <c r="BD16" s="16"/>
      <c r="BE16" s="10"/>
      <c r="BF16" s="10"/>
      <c r="BG16" s="21"/>
    </row>
    <row r="17" spans="1:59" s="35" customFormat="1" x14ac:dyDescent="0.25">
      <c r="A17" s="47">
        <v>16</v>
      </c>
      <c r="B17" s="99">
        <v>45710</v>
      </c>
      <c r="C17" s="100" t="s">
        <v>197</v>
      </c>
      <c r="D17" s="100" t="s">
        <v>93</v>
      </c>
      <c r="E17" s="100" t="s">
        <v>74</v>
      </c>
      <c r="F17" s="100" t="s">
        <v>198</v>
      </c>
      <c r="G17" s="100" t="s">
        <v>171</v>
      </c>
      <c r="H17" s="100">
        <v>587</v>
      </c>
      <c r="I17" s="100" t="s">
        <v>199</v>
      </c>
      <c r="J17" s="47"/>
      <c r="K17" s="48">
        <v>15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/>
      <c r="R17" s="12">
        <f t="shared" si="0"/>
        <v>15</v>
      </c>
      <c r="S17" s="41">
        <f t="shared" si="6"/>
        <v>675</v>
      </c>
      <c r="T17" s="41">
        <f t="shared" si="1"/>
        <v>675</v>
      </c>
      <c r="U17" s="49">
        <v>45</v>
      </c>
      <c r="V17" s="48">
        <v>135</v>
      </c>
      <c r="W17" s="48">
        <v>0</v>
      </c>
      <c r="X17" s="48">
        <f>1500+500</f>
        <v>2000</v>
      </c>
      <c r="Y17" s="48">
        <v>0</v>
      </c>
      <c r="Z17" s="48">
        <v>0</v>
      </c>
      <c r="AA17" s="48">
        <v>0</v>
      </c>
      <c r="AB17" s="48">
        <v>0</v>
      </c>
      <c r="AC17" s="48">
        <v>0</v>
      </c>
      <c r="AD17" s="48">
        <v>0</v>
      </c>
      <c r="AE17" s="49">
        <v>0</v>
      </c>
      <c r="AF17" s="48">
        <v>0</v>
      </c>
      <c r="AG17" s="48">
        <v>0</v>
      </c>
      <c r="AH17" s="48">
        <v>0</v>
      </c>
      <c r="AI17" s="48">
        <v>0</v>
      </c>
      <c r="AJ17" s="48">
        <v>0</v>
      </c>
      <c r="AK17" s="73">
        <f t="shared" si="2"/>
        <v>135</v>
      </c>
      <c r="AL17" s="83">
        <f t="shared" si="3"/>
        <v>6075</v>
      </c>
      <c r="AM17" s="41">
        <f t="shared" si="4"/>
        <v>8075</v>
      </c>
      <c r="AN17" s="83">
        <f t="shared" si="7"/>
        <v>8750</v>
      </c>
      <c r="AO17" s="50">
        <f t="shared" si="5"/>
        <v>45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/>
      <c r="AW17" s="10">
        <v>0</v>
      </c>
      <c r="AX17" s="10">
        <v>0</v>
      </c>
      <c r="AY17" s="10">
        <v>0</v>
      </c>
      <c r="AZ17" s="128"/>
      <c r="BA17" s="16"/>
      <c r="BB17" s="16"/>
      <c r="BC17" s="16"/>
      <c r="BD17" s="16"/>
      <c r="BE17" s="16"/>
      <c r="BF17" s="16"/>
      <c r="BG17" s="21"/>
    </row>
    <row r="18" spans="1:59" s="35" customFormat="1" x14ac:dyDescent="0.25">
      <c r="A18" s="47">
        <v>17</v>
      </c>
      <c r="B18" s="99">
        <v>45710</v>
      </c>
      <c r="C18" s="100" t="s">
        <v>202</v>
      </c>
      <c r="D18" s="100" t="s">
        <v>478</v>
      </c>
      <c r="E18" s="100" t="s">
        <v>3</v>
      </c>
      <c r="F18" s="100" t="s">
        <v>17</v>
      </c>
      <c r="G18" s="100" t="s">
        <v>86</v>
      </c>
      <c r="H18" s="100">
        <v>615</v>
      </c>
      <c r="I18" s="100" t="s">
        <v>16</v>
      </c>
      <c r="J18" s="39"/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/>
      <c r="R18" s="12">
        <f t="shared" si="0"/>
        <v>0</v>
      </c>
      <c r="S18" s="41">
        <f t="shared" si="6"/>
        <v>0</v>
      </c>
      <c r="T18" s="41">
        <f t="shared" si="1"/>
        <v>0</v>
      </c>
      <c r="U18" s="49">
        <v>2</v>
      </c>
      <c r="V18" s="90">
        <v>2000</v>
      </c>
      <c r="W18" s="90">
        <v>0</v>
      </c>
      <c r="X18" s="90">
        <v>600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49">
        <v>0</v>
      </c>
      <c r="AF18" s="90">
        <v>0</v>
      </c>
      <c r="AG18" s="90">
        <v>0</v>
      </c>
      <c r="AH18" s="90">
        <v>0</v>
      </c>
      <c r="AI18" s="90">
        <v>0</v>
      </c>
      <c r="AJ18" s="90">
        <v>0</v>
      </c>
      <c r="AK18" s="73">
        <f t="shared" si="2"/>
        <v>2000</v>
      </c>
      <c r="AL18" s="83">
        <f t="shared" si="3"/>
        <v>4000</v>
      </c>
      <c r="AM18" s="41">
        <f t="shared" si="4"/>
        <v>4600</v>
      </c>
      <c r="AN18" s="83">
        <f t="shared" si="7"/>
        <v>4600</v>
      </c>
      <c r="AO18" s="49">
        <f t="shared" si="5"/>
        <v>2</v>
      </c>
      <c r="AQ18" s="10">
        <v>0</v>
      </c>
      <c r="AR18" s="10">
        <v>0</v>
      </c>
      <c r="AS18" s="10">
        <v>0</v>
      </c>
      <c r="AT18" s="10">
        <v>0</v>
      </c>
      <c r="AU18" s="16"/>
      <c r="AV18" s="16"/>
      <c r="AW18" s="16">
        <v>0</v>
      </c>
      <c r="AX18" s="16">
        <v>0</v>
      </c>
      <c r="AY18" s="16">
        <v>0</v>
      </c>
      <c r="AZ18" s="128"/>
      <c r="BA18" s="16"/>
      <c r="BB18" s="16"/>
      <c r="BC18" s="16"/>
      <c r="BD18" s="16"/>
      <c r="BE18" s="10"/>
      <c r="BF18" s="10"/>
      <c r="BG18" s="21"/>
    </row>
    <row r="19" spans="1:59" s="35" customFormat="1" x14ac:dyDescent="0.25">
      <c r="A19" s="47">
        <v>18</v>
      </c>
      <c r="B19" s="99">
        <v>45713</v>
      </c>
      <c r="C19" s="100" t="s">
        <v>203</v>
      </c>
      <c r="D19" s="100" t="s">
        <v>149</v>
      </c>
      <c r="E19" s="100" t="s">
        <v>74</v>
      </c>
      <c r="F19" s="100" t="s">
        <v>90</v>
      </c>
      <c r="G19" s="100" t="s">
        <v>171</v>
      </c>
      <c r="H19" s="100">
        <v>591</v>
      </c>
      <c r="I19" s="100" t="s">
        <v>204</v>
      </c>
      <c r="J19" s="47"/>
      <c r="K19" s="48">
        <v>0</v>
      </c>
      <c r="L19" s="48">
        <v>0</v>
      </c>
      <c r="M19" s="48">
        <v>0</v>
      </c>
      <c r="N19" s="48">
        <v>0</v>
      </c>
      <c r="O19" s="48">
        <v>0</v>
      </c>
      <c r="P19" s="48">
        <v>1690</v>
      </c>
      <c r="Q19" s="48"/>
      <c r="R19" s="12">
        <f t="shared" si="0"/>
        <v>0</v>
      </c>
      <c r="S19" s="41">
        <f t="shared" si="6"/>
        <v>0</v>
      </c>
      <c r="T19" s="41">
        <f t="shared" si="1"/>
        <v>1690</v>
      </c>
      <c r="U19" s="49">
        <v>1592</v>
      </c>
      <c r="V19" s="48">
        <v>82.900565299999997</v>
      </c>
      <c r="W19" s="48">
        <v>0</v>
      </c>
      <c r="X19" s="48">
        <v>16896.55</v>
      </c>
      <c r="Y19" s="48"/>
      <c r="Z19" s="48"/>
      <c r="AA19" s="48"/>
      <c r="AB19" s="48"/>
      <c r="AC19" s="48"/>
      <c r="AD19" s="48"/>
      <c r="AE19" s="49"/>
      <c r="AF19" s="48"/>
      <c r="AG19" s="48"/>
      <c r="AH19" s="48"/>
      <c r="AI19" s="48"/>
      <c r="AJ19" s="48"/>
      <c r="AK19" s="73">
        <f t="shared" si="2"/>
        <v>82.900565299999997</v>
      </c>
      <c r="AL19" s="83">
        <f t="shared" si="3"/>
        <v>131977.69995760001</v>
      </c>
      <c r="AM19" s="41">
        <f t="shared" si="4"/>
        <v>148874.2499576</v>
      </c>
      <c r="AN19" s="83">
        <f t="shared" si="7"/>
        <v>150564.2499576</v>
      </c>
      <c r="AO19" s="50">
        <f t="shared" si="5"/>
        <v>1592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29">
        <f>AN19*10%</f>
        <v>15056.42499576</v>
      </c>
      <c r="AW19" s="10">
        <v>0</v>
      </c>
      <c r="AX19" s="10">
        <v>0</v>
      </c>
      <c r="AY19" s="10">
        <v>0</v>
      </c>
      <c r="AZ19" s="128"/>
      <c r="BA19" s="16"/>
      <c r="BB19" s="16"/>
      <c r="BC19" s="16"/>
      <c r="BD19" s="16"/>
      <c r="BE19" s="16"/>
      <c r="BF19" s="16"/>
      <c r="BG19" s="21"/>
    </row>
    <row r="20" spans="1:59" s="35" customFormat="1" x14ac:dyDescent="0.25">
      <c r="A20" s="47">
        <v>19</v>
      </c>
      <c r="B20" s="95">
        <v>45723</v>
      </c>
      <c r="C20" s="96" t="s">
        <v>205</v>
      </c>
      <c r="D20" s="96" t="s">
        <v>79</v>
      </c>
      <c r="E20" s="96" t="s">
        <v>18</v>
      </c>
      <c r="F20" s="96" t="s">
        <v>17</v>
      </c>
      <c r="G20" s="96" t="s">
        <v>171</v>
      </c>
      <c r="H20" s="96">
        <v>592</v>
      </c>
      <c r="I20" s="96" t="s">
        <v>206</v>
      </c>
      <c r="J20" s="47"/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/>
      <c r="R20" s="12">
        <f t="shared" si="0"/>
        <v>0</v>
      </c>
      <c r="S20" s="41">
        <f t="shared" si="6"/>
        <v>0</v>
      </c>
      <c r="T20" s="41">
        <f t="shared" si="1"/>
        <v>0</v>
      </c>
      <c r="U20" s="49">
        <v>76</v>
      </c>
      <c r="V20" s="48">
        <v>80</v>
      </c>
      <c r="W20" s="48">
        <v>0</v>
      </c>
      <c r="X20" s="48">
        <v>1890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9">
        <v>0</v>
      </c>
      <c r="AF20" s="48">
        <v>0</v>
      </c>
      <c r="AG20" s="48">
        <v>0</v>
      </c>
      <c r="AH20" s="48">
        <v>0</v>
      </c>
      <c r="AI20" s="48">
        <v>0</v>
      </c>
      <c r="AJ20" s="48">
        <v>0</v>
      </c>
      <c r="AK20" s="73">
        <f t="shared" si="2"/>
        <v>80</v>
      </c>
      <c r="AL20" s="83">
        <f t="shared" si="3"/>
        <v>6080</v>
      </c>
      <c r="AM20" s="41">
        <f t="shared" si="4"/>
        <v>7970</v>
      </c>
      <c r="AN20" s="83">
        <f t="shared" si="7"/>
        <v>7970</v>
      </c>
      <c r="AO20" s="50">
        <f t="shared" si="5"/>
        <v>76</v>
      </c>
      <c r="AQ20" s="10">
        <f>AN19*10%</f>
        <v>15056.42499576</v>
      </c>
      <c r="AR20" s="10">
        <v>0</v>
      </c>
      <c r="AS20" s="10">
        <v>0</v>
      </c>
      <c r="AT20" s="10">
        <v>0</v>
      </c>
      <c r="AU20" s="10">
        <v>0</v>
      </c>
      <c r="AV20" s="10"/>
      <c r="AW20" s="10">
        <v>0</v>
      </c>
      <c r="AX20" s="10">
        <v>0</v>
      </c>
      <c r="AY20" s="10">
        <v>0</v>
      </c>
      <c r="AZ20" s="128"/>
      <c r="BA20" s="16"/>
      <c r="BB20" s="16"/>
      <c r="BC20" s="16"/>
      <c r="BD20" s="16"/>
      <c r="BE20" s="10"/>
      <c r="BF20" s="10"/>
      <c r="BG20" s="21"/>
    </row>
    <row r="21" spans="1:59" s="35" customFormat="1" x14ac:dyDescent="0.25">
      <c r="A21" s="47">
        <v>20</v>
      </c>
      <c r="B21" s="114">
        <v>45724</v>
      </c>
      <c r="C21" s="77" t="s">
        <v>210</v>
      </c>
      <c r="D21" s="77" t="s">
        <v>79</v>
      </c>
      <c r="E21" s="77" t="s">
        <v>3</v>
      </c>
      <c r="F21" s="77" t="s">
        <v>9</v>
      </c>
      <c r="G21" s="77" t="s">
        <v>86</v>
      </c>
      <c r="H21" s="77">
        <v>593</v>
      </c>
      <c r="I21" s="77" t="s">
        <v>87</v>
      </c>
      <c r="J21" s="1"/>
      <c r="K21" s="21">
        <v>0</v>
      </c>
      <c r="L21" s="21">
        <v>28</v>
      </c>
      <c r="M21" s="21">
        <v>0</v>
      </c>
      <c r="N21" s="21">
        <v>0</v>
      </c>
      <c r="O21" s="21">
        <v>0</v>
      </c>
      <c r="P21" s="21">
        <v>0</v>
      </c>
      <c r="Q21" s="21"/>
      <c r="R21" s="12">
        <f t="shared" si="0"/>
        <v>28</v>
      </c>
      <c r="S21" s="17">
        <f t="shared" si="6"/>
        <v>16030</v>
      </c>
      <c r="T21" s="17">
        <f t="shared" si="1"/>
        <v>16030</v>
      </c>
      <c r="U21" s="20">
        <v>572.5</v>
      </c>
      <c r="V21" s="72"/>
      <c r="W21" s="21"/>
      <c r="X21" s="21"/>
      <c r="Y21" s="21"/>
      <c r="Z21" s="21"/>
      <c r="AA21" s="21"/>
      <c r="AB21" s="21"/>
      <c r="AC21" s="21"/>
      <c r="AD21" s="21"/>
      <c r="AE21" s="20"/>
      <c r="AF21" s="21"/>
      <c r="AG21" s="21"/>
      <c r="AH21" s="21"/>
      <c r="AI21" s="21"/>
      <c r="AJ21" s="21"/>
      <c r="AK21" s="73">
        <f t="shared" si="2"/>
        <v>0</v>
      </c>
      <c r="AL21" s="71">
        <f t="shared" si="3"/>
        <v>0</v>
      </c>
      <c r="AM21" s="11">
        <f t="shared" si="4"/>
        <v>0</v>
      </c>
      <c r="AN21" s="71">
        <f t="shared" si="7"/>
        <v>16030</v>
      </c>
      <c r="AO21" s="13">
        <f t="shared" si="5"/>
        <v>572.5</v>
      </c>
      <c r="AQ21" s="10">
        <f>AN20*10%</f>
        <v>797</v>
      </c>
      <c r="AR21" s="10">
        <v>0</v>
      </c>
      <c r="AS21" s="10">
        <v>0</v>
      </c>
      <c r="AT21" s="10">
        <v>0</v>
      </c>
      <c r="AU21" s="10">
        <v>0</v>
      </c>
      <c r="AV21" s="10"/>
      <c r="AW21" s="10">
        <v>0</v>
      </c>
      <c r="AX21" s="10">
        <v>0</v>
      </c>
      <c r="AY21" s="10">
        <v>0</v>
      </c>
      <c r="AZ21" s="128"/>
      <c r="BA21" s="16"/>
      <c r="BB21" s="16"/>
      <c r="BC21" s="16"/>
      <c r="BD21" s="16"/>
      <c r="BE21" s="16"/>
      <c r="BF21" s="16"/>
      <c r="BG21" s="21"/>
    </row>
    <row r="22" spans="1:59" s="35" customFormat="1" x14ac:dyDescent="0.25">
      <c r="A22" s="276">
        <v>21</v>
      </c>
      <c r="B22" s="290">
        <v>45724</v>
      </c>
      <c r="C22" s="291" t="s">
        <v>207</v>
      </c>
      <c r="D22" s="291" t="s">
        <v>79</v>
      </c>
      <c r="E22" s="291" t="s">
        <v>3</v>
      </c>
      <c r="F22" s="291" t="s">
        <v>9</v>
      </c>
      <c r="G22" s="291" t="s">
        <v>171</v>
      </c>
      <c r="H22" s="291">
        <v>594</v>
      </c>
      <c r="I22" s="291" t="s">
        <v>87</v>
      </c>
      <c r="J22" s="47"/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/>
      <c r="R22" s="12">
        <f t="shared" si="0"/>
        <v>0</v>
      </c>
      <c r="S22" s="41">
        <f t="shared" si="6"/>
        <v>0</v>
      </c>
      <c r="T22" s="41">
        <f t="shared" si="1"/>
        <v>0</v>
      </c>
      <c r="U22" s="49">
        <v>576</v>
      </c>
      <c r="V22" s="48">
        <v>113.96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0</v>
      </c>
      <c r="AE22" s="49">
        <v>0</v>
      </c>
      <c r="AF22" s="48">
        <v>0</v>
      </c>
      <c r="AG22" s="48">
        <v>0</v>
      </c>
      <c r="AH22" s="48">
        <v>0</v>
      </c>
      <c r="AI22" s="48">
        <v>0</v>
      </c>
      <c r="AJ22" s="48">
        <v>0</v>
      </c>
      <c r="AK22" s="73">
        <f t="shared" si="2"/>
        <v>113.96</v>
      </c>
      <c r="AL22" s="83">
        <f t="shared" si="3"/>
        <v>65640.959999999992</v>
      </c>
      <c r="AM22" s="41">
        <f t="shared" si="4"/>
        <v>65640.959999999992</v>
      </c>
      <c r="AN22" s="83">
        <f t="shared" si="7"/>
        <v>65640.959999999992</v>
      </c>
      <c r="AO22" s="50">
        <f t="shared" si="5"/>
        <v>576</v>
      </c>
      <c r="AQ22" s="10">
        <f>AN21*10%</f>
        <v>1603</v>
      </c>
      <c r="AR22" s="10">
        <v>0</v>
      </c>
      <c r="AS22" s="10">
        <v>0</v>
      </c>
      <c r="AT22" s="10">
        <v>0</v>
      </c>
      <c r="AU22" s="10">
        <v>0</v>
      </c>
      <c r="AV22" s="10"/>
      <c r="AW22" s="10">
        <v>0</v>
      </c>
      <c r="AX22" s="10">
        <v>0</v>
      </c>
      <c r="AY22" s="10">
        <v>0</v>
      </c>
      <c r="AZ22" s="128"/>
      <c r="BA22" s="16"/>
      <c r="BB22" s="16"/>
      <c r="BC22" s="16"/>
      <c r="BD22" s="16"/>
      <c r="BE22" s="10"/>
      <c r="BF22" s="10"/>
      <c r="BG22" s="21"/>
    </row>
    <row r="23" spans="1:59" x14ac:dyDescent="0.25">
      <c r="A23" s="276">
        <v>22</v>
      </c>
      <c r="B23" s="290">
        <v>45724</v>
      </c>
      <c r="C23" s="291" t="s">
        <v>208</v>
      </c>
      <c r="D23" s="291" t="s">
        <v>16</v>
      </c>
      <c r="E23" s="291" t="s">
        <v>3</v>
      </c>
      <c r="F23" s="291" t="s">
        <v>17</v>
      </c>
      <c r="G23" s="291" t="s">
        <v>171</v>
      </c>
      <c r="H23" s="291">
        <v>596</v>
      </c>
      <c r="I23" s="291" t="s">
        <v>209</v>
      </c>
      <c r="J23" s="47"/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  <c r="Q23" s="48"/>
      <c r="R23" s="12">
        <f t="shared" si="0"/>
        <v>0</v>
      </c>
      <c r="S23" s="41">
        <f t="shared" si="6"/>
        <v>0</v>
      </c>
      <c r="T23" s="41">
        <f t="shared" si="1"/>
        <v>0</v>
      </c>
      <c r="U23" s="49">
        <v>120</v>
      </c>
      <c r="V23" s="48">
        <v>50</v>
      </c>
      <c r="W23" s="48"/>
      <c r="X23" s="48">
        <v>1320</v>
      </c>
      <c r="Y23" s="48"/>
      <c r="Z23" s="48"/>
      <c r="AA23" s="48"/>
      <c r="AB23" s="48"/>
      <c r="AC23" s="48"/>
      <c r="AD23" s="48"/>
      <c r="AE23" s="49"/>
      <c r="AF23" s="48"/>
      <c r="AG23" s="48"/>
      <c r="AH23" s="48"/>
      <c r="AI23" s="48"/>
      <c r="AJ23" s="48"/>
      <c r="AK23" s="73">
        <f t="shared" si="2"/>
        <v>50</v>
      </c>
      <c r="AL23" s="83">
        <f t="shared" si="3"/>
        <v>6000</v>
      </c>
      <c r="AM23" s="41">
        <f t="shared" si="4"/>
        <v>7320</v>
      </c>
      <c r="AN23" s="83">
        <f t="shared" si="7"/>
        <v>7320</v>
      </c>
      <c r="AO23" s="50">
        <f t="shared" si="5"/>
        <v>120</v>
      </c>
      <c r="AQ23" s="10">
        <v>0</v>
      </c>
      <c r="AR23" s="10">
        <v>0</v>
      </c>
      <c r="AS23" s="10">
        <v>0</v>
      </c>
      <c r="AT23" s="16">
        <f>AN23*10%</f>
        <v>732</v>
      </c>
      <c r="AU23" s="10">
        <v>0</v>
      </c>
      <c r="AV23" s="10"/>
      <c r="AW23" s="10">
        <v>0</v>
      </c>
      <c r="AX23" s="10">
        <v>0</v>
      </c>
      <c r="AY23" s="10">
        <v>0</v>
      </c>
      <c r="AZ23" s="128"/>
      <c r="BA23" s="16"/>
      <c r="BB23" s="16"/>
      <c r="BC23" s="16"/>
      <c r="BD23" s="16"/>
      <c r="BE23" s="16"/>
      <c r="BF23" s="16"/>
      <c r="BG23" s="21"/>
    </row>
    <row r="24" spans="1:59" s="35" customFormat="1" x14ac:dyDescent="0.25">
      <c r="A24" s="276">
        <v>23</v>
      </c>
      <c r="B24" s="290">
        <v>45730</v>
      </c>
      <c r="C24" s="291" t="s">
        <v>211</v>
      </c>
      <c r="D24" s="291" t="s">
        <v>70</v>
      </c>
      <c r="E24" s="291" t="s">
        <v>3</v>
      </c>
      <c r="F24" s="291" t="s">
        <v>17</v>
      </c>
      <c r="G24" s="291" t="s">
        <v>171</v>
      </c>
      <c r="H24" s="291">
        <v>597</v>
      </c>
      <c r="I24" s="291" t="s">
        <v>212</v>
      </c>
      <c r="J24" s="47"/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/>
      <c r="R24" s="12">
        <f t="shared" si="0"/>
        <v>0</v>
      </c>
      <c r="S24" s="41">
        <f t="shared" si="6"/>
        <v>0</v>
      </c>
      <c r="T24" s="41">
        <f t="shared" si="1"/>
        <v>0</v>
      </c>
      <c r="U24" s="49">
        <v>130</v>
      </c>
      <c r="V24" s="48">
        <v>60</v>
      </c>
      <c r="W24" s="48">
        <v>0</v>
      </c>
      <c r="X24" s="48">
        <v>1500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9">
        <v>0</v>
      </c>
      <c r="AF24" s="48">
        <v>0</v>
      </c>
      <c r="AG24" s="48">
        <v>0</v>
      </c>
      <c r="AH24" s="48">
        <v>0</v>
      </c>
      <c r="AI24" s="48">
        <v>0</v>
      </c>
      <c r="AJ24" s="48">
        <v>0</v>
      </c>
      <c r="AK24" s="73">
        <f t="shared" si="2"/>
        <v>60</v>
      </c>
      <c r="AL24" s="83">
        <f t="shared" si="3"/>
        <v>7800</v>
      </c>
      <c r="AM24" s="41">
        <f t="shared" si="4"/>
        <v>9300</v>
      </c>
      <c r="AN24" s="83">
        <f t="shared" si="7"/>
        <v>9300</v>
      </c>
      <c r="AO24" s="50">
        <f t="shared" si="5"/>
        <v>130</v>
      </c>
      <c r="AQ24" s="10">
        <v>0</v>
      </c>
      <c r="AR24" s="10">
        <v>0</v>
      </c>
      <c r="AS24" s="10">
        <v>0</v>
      </c>
      <c r="AT24" s="16">
        <v>0</v>
      </c>
      <c r="AU24" s="16">
        <f>AN24*10%</f>
        <v>930</v>
      </c>
      <c r="AV24" s="16"/>
      <c r="AW24" s="10">
        <v>0</v>
      </c>
      <c r="AX24" s="10">
        <v>0</v>
      </c>
      <c r="AY24" s="10">
        <v>0</v>
      </c>
      <c r="AZ24" s="128"/>
      <c r="BA24" s="16"/>
      <c r="BB24" s="16"/>
      <c r="BC24" s="16"/>
      <c r="BD24" s="16"/>
      <c r="BE24" s="10"/>
      <c r="BF24" s="10"/>
      <c r="BG24" s="21"/>
    </row>
    <row r="25" spans="1:59" s="35" customFormat="1" x14ac:dyDescent="0.25">
      <c r="A25" s="276">
        <v>24</v>
      </c>
      <c r="B25" s="290">
        <v>45731</v>
      </c>
      <c r="C25" s="291" t="s">
        <v>213</v>
      </c>
      <c r="D25" s="291" t="s">
        <v>79</v>
      </c>
      <c r="E25" s="291" t="s">
        <v>3</v>
      </c>
      <c r="F25" s="291" t="s">
        <v>9</v>
      </c>
      <c r="G25" s="291" t="s">
        <v>171</v>
      </c>
      <c r="H25" s="291">
        <v>595</v>
      </c>
      <c r="I25" s="291" t="s">
        <v>214</v>
      </c>
      <c r="J25" s="47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/>
      <c r="R25" s="12">
        <f t="shared" si="0"/>
        <v>0</v>
      </c>
      <c r="S25" s="41">
        <f t="shared" si="6"/>
        <v>0</v>
      </c>
      <c r="T25" s="41">
        <f t="shared" si="1"/>
        <v>0</v>
      </c>
      <c r="U25" s="49">
        <v>671</v>
      </c>
      <c r="V25" s="48">
        <v>100.77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9">
        <v>0</v>
      </c>
      <c r="AF25" s="48">
        <v>0</v>
      </c>
      <c r="AG25" s="48">
        <v>0</v>
      </c>
      <c r="AH25" s="48">
        <v>0</v>
      </c>
      <c r="AI25" s="48">
        <v>0</v>
      </c>
      <c r="AJ25" s="48">
        <v>0</v>
      </c>
      <c r="AK25" s="73">
        <f t="shared" si="2"/>
        <v>100.77</v>
      </c>
      <c r="AL25" s="83">
        <f t="shared" si="3"/>
        <v>67616.67</v>
      </c>
      <c r="AM25" s="41">
        <f t="shared" si="4"/>
        <v>67616.67</v>
      </c>
      <c r="AN25" s="83">
        <f t="shared" si="7"/>
        <v>67616.67</v>
      </c>
      <c r="AO25" s="50">
        <f t="shared" si="5"/>
        <v>671</v>
      </c>
      <c r="AQ25" s="10">
        <f>AN25*10%</f>
        <v>6761.6670000000004</v>
      </c>
      <c r="AR25" s="10">
        <v>0</v>
      </c>
      <c r="AS25" s="10">
        <v>0</v>
      </c>
      <c r="AT25" s="16">
        <v>0</v>
      </c>
      <c r="AU25" s="16">
        <v>0</v>
      </c>
      <c r="AV25" s="16"/>
      <c r="AW25" s="10">
        <v>0</v>
      </c>
      <c r="AX25" s="10">
        <v>0</v>
      </c>
      <c r="AY25" s="10">
        <v>0</v>
      </c>
      <c r="AZ25" s="128"/>
      <c r="BA25" s="16"/>
      <c r="BB25" s="16"/>
      <c r="BC25" s="16"/>
      <c r="BD25" s="16"/>
      <c r="BE25" s="16"/>
      <c r="BF25" s="16"/>
      <c r="BG25" s="21"/>
    </row>
    <row r="26" spans="1:59" s="35" customFormat="1" x14ac:dyDescent="0.25">
      <c r="A26" s="276">
        <v>25</v>
      </c>
      <c r="B26" s="290">
        <v>45735</v>
      </c>
      <c r="C26" s="291" t="s">
        <v>215</v>
      </c>
      <c r="D26" s="291" t="s">
        <v>216</v>
      </c>
      <c r="E26" s="291" t="s">
        <v>3</v>
      </c>
      <c r="F26" s="291" t="s">
        <v>217</v>
      </c>
      <c r="G26" s="291" t="s">
        <v>171</v>
      </c>
      <c r="H26" s="291">
        <v>598</v>
      </c>
      <c r="I26" s="291" t="s">
        <v>218</v>
      </c>
      <c r="J26" s="47"/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/>
      <c r="R26" s="12">
        <f t="shared" si="0"/>
        <v>0</v>
      </c>
      <c r="S26" s="41">
        <f t="shared" si="6"/>
        <v>0</v>
      </c>
      <c r="T26" s="41">
        <f t="shared" si="1"/>
        <v>0</v>
      </c>
      <c r="U26" s="49">
        <v>65</v>
      </c>
      <c r="V26" s="48">
        <v>38.415384600000003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9">
        <v>0</v>
      </c>
      <c r="AF26" s="48">
        <v>0</v>
      </c>
      <c r="AG26" s="48">
        <v>0</v>
      </c>
      <c r="AH26" s="48">
        <v>0</v>
      </c>
      <c r="AI26" s="48">
        <v>0</v>
      </c>
      <c r="AJ26" s="48">
        <v>0</v>
      </c>
      <c r="AK26" s="73">
        <f t="shared" si="2"/>
        <v>38.415384600000003</v>
      </c>
      <c r="AL26" s="83">
        <f t="shared" si="3"/>
        <v>2496.9999990000001</v>
      </c>
      <c r="AM26" s="41">
        <f t="shared" si="4"/>
        <v>2496.9999990000001</v>
      </c>
      <c r="AN26" s="83">
        <f t="shared" si="7"/>
        <v>2496.9999990000001</v>
      </c>
      <c r="AO26" s="50">
        <f t="shared" si="5"/>
        <v>65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/>
      <c r="AW26" s="10">
        <v>0</v>
      </c>
      <c r="AX26" s="10">
        <v>0</v>
      </c>
      <c r="AY26" s="10">
        <v>0</v>
      </c>
      <c r="AZ26" s="10">
        <v>0</v>
      </c>
      <c r="BA26" s="16"/>
      <c r="BB26" s="16"/>
      <c r="BC26" s="16"/>
      <c r="BD26" s="16"/>
      <c r="BE26" s="10"/>
      <c r="BF26" s="10"/>
      <c r="BG26" s="21"/>
    </row>
    <row r="27" spans="1:59" s="35" customFormat="1" x14ac:dyDescent="0.25">
      <c r="A27" s="276">
        <v>26</v>
      </c>
      <c r="B27" s="290">
        <v>45738</v>
      </c>
      <c r="C27" s="291" t="s">
        <v>175</v>
      </c>
      <c r="D27" s="291" t="s">
        <v>70</v>
      </c>
      <c r="E27" s="291" t="s">
        <v>3</v>
      </c>
      <c r="F27" s="291" t="s">
        <v>17</v>
      </c>
      <c r="G27" s="291" t="s">
        <v>171</v>
      </c>
      <c r="H27" s="291">
        <v>607</v>
      </c>
      <c r="I27" s="291" t="s">
        <v>219</v>
      </c>
      <c r="J27" s="47"/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/>
      <c r="R27" s="12">
        <f t="shared" si="0"/>
        <v>0</v>
      </c>
      <c r="S27" s="41">
        <f t="shared" si="6"/>
        <v>0</v>
      </c>
      <c r="T27" s="41">
        <f t="shared" si="1"/>
        <v>0</v>
      </c>
      <c r="U27" s="49">
        <v>70</v>
      </c>
      <c r="V27" s="48">
        <v>60</v>
      </c>
      <c r="W27" s="48"/>
      <c r="X27" s="48">
        <v>1200</v>
      </c>
      <c r="Y27" s="48"/>
      <c r="Z27" s="48"/>
      <c r="AA27" s="48"/>
      <c r="AB27" s="48"/>
      <c r="AC27" s="48"/>
      <c r="AD27" s="48"/>
      <c r="AE27" s="49"/>
      <c r="AF27" s="48"/>
      <c r="AG27" s="48"/>
      <c r="AH27" s="48"/>
      <c r="AI27" s="48"/>
      <c r="AJ27" s="48"/>
      <c r="AK27" s="73">
        <f t="shared" si="2"/>
        <v>60</v>
      </c>
      <c r="AL27" s="83">
        <f t="shared" si="3"/>
        <v>4200</v>
      </c>
      <c r="AM27" s="41">
        <f t="shared" si="4"/>
        <v>5400</v>
      </c>
      <c r="AN27" s="83">
        <f t="shared" si="7"/>
        <v>5400</v>
      </c>
      <c r="AO27" s="49">
        <f t="shared" si="5"/>
        <v>70</v>
      </c>
      <c r="AQ27" s="10">
        <v>0</v>
      </c>
      <c r="AR27" s="10">
        <v>0</v>
      </c>
      <c r="AS27" s="16">
        <v>0</v>
      </c>
      <c r="AT27" s="16">
        <v>0</v>
      </c>
      <c r="AU27" s="16"/>
      <c r="AV27" s="16"/>
      <c r="AW27" s="16">
        <v>0</v>
      </c>
      <c r="AX27" s="16">
        <v>0</v>
      </c>
      <c r="AY27" s="16">
        <v>0</v>
      </c>
      <c r="AZ27" s="128"/>
      <c r="BA27" s="16"/>
      <c r="BB27" s="16"/>
      <c r="BC27" s="16"/>
      <c r="BD27" s="16"/>
      <c r="BE27" s="16"/>
      <c r="BF27" s="16"/>
      <c r="BG27" s="21"/>
    </row>
    <row r="28" spans="1:59" s="35" customFormat="1" x14ac:dyDescent="0.25">
      <c r="A28" s="276">
        <v>27</v>
      </c>
      <c r="B28" s="290">
        <v>45738</v>
      </c>
      <c r="C28" s="291" t="s">
        <v>220</v>
      </c>
      <c r="D28" s="291" t="s">
        <v>221</v>
      </c>
      <c r="E28" s="291" t="s">
        <v>11</v>
      </c>
      <c r="F28" s="291" t="s">
        <v>17</v>
      </c>
      <c r="G28" s="291" t="s">
        <v>86</v>
      </c>
      <c r="H28" s="291">
        <v>610</v>
      </c>
      <c r="I28" s="291" t="s">
        <v>222</v>
      </c>
      <c r="J28" s="39"/>
      <c r="K28" s="40">
        <v>10</v>
      </c>
      <c r="L28" s="40">
        <v>35</v>
      </c>
      <c r="M28" s="40">
        <v>0</v>
      </c>
      <c r="N28" s="40">
        <v>0</v>
      </c>
      <c r="O28" s="40">
        <v>0</v>
      </c>
      <c r="P28" s="40">
        <v>0</v>
      </c>
      <c r="Q28" s="40"/>
      <c r="R28" s="12">
        <f t="shared" si="0"/>
        <v>45</v>
      </c>
      <c r="S28" s="41">
        <f t="shared" si="6"/>
        <v>1350</v>
      </c>
      <c r="T28" s="41">
        <f t="shared" si="1"/>
        <v>1350</v>
      </c>
      <c r="U28" s="49">
        <v>30</v>
      </c>
      <c r="V28" s="40"/>
      <c r="W28" s="40"/>
      <c r="X28" s="40"/>
      <c r="Y28" s="40"/>
      <c r="Z28" s="40"/>
      <c r="AA28" s="40"/>
      <c r="AB28" s="40"/>
      <c r="AC28" s="40"/>
      <c r="AD28" s="40"/>
      <c r="AE28" s="49"/>
      <c r="AF28" s="40"/>
      <c r="AG28" s="40"/>
      <c r="AH28" s="40"/>
      <c r="AI28" s="40"/>
      <c r="AJ28" s="40"/>
      <c r="AK28" s="73">
        <f t="shared" si="2"/>
        <v>0</v>
      </c>
      <c r="AL28" s="83">
        <f t="shared" si="3"/>
        <v>0</v>
      </c>
      <c r="AM28" s="41">
        <f t="shared" si="4"/>
        <v>0</v>
      </c>
      <c r="AN28" s="83">
        <f t="shared" si="7"/>
        <v>1350</v>
      </c>
      <c r="AO28" s="49">
        <f t="shared" si="5"/>
        <v>30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/>
      <c r="AW28" s="10">
        <v>0</v>
      </c>
      <c r="AX28" s="10">
        <v>0</v>
      </c>
      <c r="AY28" s="10">
        <v>0</v>
      </c>
      <c r="AZ28" s="10">
        <v>0</v>
      </c>
      <c r="BA28" s="16"/>
      <c r="BB28" s="16"/>
      <c r="BC28" s="16"/>
      <c r="BD28" s="16"/>
      <c r="BE28" s="10"/>
      <c r="BF28" s="10"/>
      <c r="BG28" s="21"/>
    </row>
    <row r="29" spans="1:59" s="35" customFormat="1" x14ac:dyDescent="0.25">
      <c r="A29" s="276">
        <v>28</v>
      </c>
      <c r="B29" s="290">
        <v>45743</v>
      </c>
      <c r="C29" s="291" t="s">
        <v>223</v>
      </c>
      <c r="D29" s="291" t="s">
        <v>401</v>
      </c>
      <c r="E29" s="291" t="s">
        <v>3</v>
      </c>
      <c r="F29" s="291" t="s">
        <v>217</v>
      </c>
      <c r="G29" s="291" t="s">
        <v>171</v>
      </c>
      <c r="H29" s="291">
        <v>614</v>
      </c>
      <c r="I29" s="291"/>
      <c r="J29" s="39"/>
      <c r="K29" s="40"/>
      <c r="L29" s="40"/>
      <c r="M29" s="40"/>
      <c r="N29" s="40"/>
      <c r="O29" s="40"/>
      <c r="P29" s="40"/>
      <c r="Q29" s="40"/>
      <c r="R29" s="12">
        <f t="shared" si="0"/>
        <v>0</v>
      </c>
      <c r="S29" s="41">
        <f t="shared" si="6"/>
        <v>0</v>
      </c>
      <c r="T29" s="88"/>
      <c r="U29" s="49">
        <v>1</v>
      </c>
      <c r="V29" s="40">
        <v>4000</v>
      </c>
      <c r="W29" s="39"/>
      <c r="X29" s="39"/>
      <c r="Y29" s="39"/>
      <c r="Z29" s="39"/>
      <c r="AA29" s="39"/>
      <c r="AB29" s="39"/>
      <c r="AC29" s="39"/>
      <c r="AD29" s="39"/>
      <c r="AE29" s="49"/>
      <c r="AF29" s="39"/>
      <c r="AG29" s="39"/>
      <c r="AH29" s="39"/>
      <c r="AI29" s="39"/>
      <c r="AJ29" s="39"/>
      <c r="AK29" s="73">
        <f t="shared" si="2"/>
        <v>4000</v>
      </c>
      <c r="AL29" s="89">
        <f t="shared" si="3"/>
        <v>4000</v>
      </c>
      <c r="AM29" s="41">
        <f t="shared" si="4"/>
        <v>4000</v>
      </c>
      <c r="AN29" s="83">
        <f t="shared" si="7"/>
        <v>4000</v>
      </c>
      <c r="AO29" s="49">
        <f t="shared" si="5"/>
        <v>1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/>
      <c r="AW29" s="10">
        <v>0</v>
      </c>
      <c r="AX29" s="10">
        <v>0</v>
      </c>
      <c r="AY29" s="10">
        <v>0</v>
      </c>
      <c r="AZ29" s="10">
        <v>0</v>
      </c>
      <c r="BA29" s="16"/>
      <c r="BB29" s="16"/>
      <c r="BC29" s="16"/>
      <c r="BD29" s="16"/>
      <c r="BE29" s="16"/>
      <c r="BF29" s="16"/>
      <c r="BG29" s="21"/>
    </row>
    <row r="30" spans="1:59" s="35" customFormat="1" x14ac:dyDescent="0.25">
      <c r="A30" s="276">
        <v>29</v>
      </c>
      <c r="B30" s="290">
        <v>45745</v>
      </c>
      <c r="C30" s="291" t="s">
        <v>224</v>
      </c>
      <c r="D30" s="291" t="s">
        <v>70</v>
      </c>
      <c r="E30" s="291" t="s">
        <v>3</v>
      </c>
      <c r="F30" s="291" t="s">
        <v>9</v>
      </c>
      <c r="G30" s="291" t="s">
        <v>171</v>
      </c>
      <c r="H30" s="291">
        <v>606</v>
      </c>
      <c r="I30" s="291" t="s">
        <v>87</v>
      </c>
      <c r="J30" s="31"/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/>
      <c r="R30" s="12">
        <f t="shared" si="0"/>
        <v>0</v>
      </c>
      <c r="S30" s="41">
        <f t="shared" si="6"/>
        <v>0</v>
      </c>
      <c r="T30" s="41">
        <f t="shared" ref="T30:T61" si="8">S30+P30+O30+N30+M30</f>
        <v>0</v>
      </c>
      <c r="U30" s="49">
        <v>840</v>
      </c>
      <c r="V30" s="48">
        <v>90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9">
        <v>0</v>
      </c>
      <c r="AF30" s="48">
        <v>0</v>
      </c>
      <c r="AG30" s="48">
        <v>0</v>
      </c>
      <c r="AH30" s="48">
        <v>0</v>
      </c>
      <c r="AI30" s="48">
        <v>0</v>
      </c>
      <c r="AJ30" s="48">
        <v>0</v>
      </c>
      <c r="AK30" s="73">
        <f t="shared" si="2"/>
        <v>90</v>
      </c>
      <c r="AL30" s="83">
        <f t="shared" si="3"/>
        <v>75600</v>
      </c>
      <c r="AM30" s="41">
        <f t="shared" si="4"/>
        <v>75600</v>
      </c>
      <c r="AN30" s="83">
        <f t="shared" si="7"/>
        <v>75600</v>
      </c>
      <c r="AO30" s="50">
        <f t="shared" si="5"/>
        <v>840</v>
      </c>
      <c r="AQ30" s="10"/>
      <c r="AR30" s="10"/>
      <c r="AS30" s="16"/>
      <c r="AT30" s="16"/>
      <c r="AU30" s="16"/>
      <c r="AV30" s="16"/>
      <c r="AW30" s="16"/>
      <c r="AX30" s="16"/>
      <c r="AY30" s="16"/>
      <c r="AZ30" s="128"/>
      <c r="BA30" s="16"/>
      <c r="BB30" s="16"/>
      <c r="BC30" s="16"/>
      <c r="BD30" s="16"/>
      <c r="BE30" s="10"/>
      <c r="BF30" s="10"/>
      <c r="BG30" s="21"/>
    </row>
    <row r="31" spans="1:59" s="35" customFormat="1" x14ac:dyDescent="0.25">
      <c r="A31" s="276">
        <v>30</v>
      </c>
      <c r="B31" s="292">
        <v>45749</v>
      </c>
      <c r="C31" s="293" t="s">
        <v>225</v>
      </c>
      <c r="D31" s="293" t="s">
        <v>191</v>
      </c>
      <c r="E31" s="293" t="s">
        <v>74</v>
      </c>
      <c r="F31" s="293" t="s">
        <v>192</v>
      </c>
      <c r="G31" s="293" t="s">
        <v>171</v>
      </c>
      <c r="H31" s="338">
        <v>611</v>
      </c>
      <c r="I31" s="293" t="s">
        <v>76</v>
      </c>
      <c r="J31" s="261"/>
      <c r="K31" s="118">
        <v>0</v>
      </c>
      <c r="L31" s="118">
        <v>0</v>
      </c>
      <c r="M31" s="118">
        <v>0</v>
      </c>
      <c r="N31" s="118">
        <v>0</v>
      </c>
      <c r="O31" s="118">
        <v>0</v>
      </c>
      <c r="P31" s="118">
        <v>0</v>
      </c>
      <c r="Q31" s="118"/>
      <c r="R31" s="257">
        <f t="shared" si="0"/>
        <v>0</v>
      </c>
      <c r="S31" s="53">
        <f t="shared" si="6"/>
        <v>0</v>
      </c>
      <c r="T31" s="53">
        <f t="shared" si="8"/>
        <v>0</v>
      </c>
      <c r="U31" s="54">
        <v>300</v>
      </c>
      <c r="V31" s="118">
        <v>120</v>
      </c>
      <c r="W31" s="118"/>
      <c r="X31" s="118"/>
      <c r="Y31" s="118"/>
      <c r="Z31" s="118"/>
      <c r="AA31" s="118"/>
      <c r="AB31" s="118"/>
      <c r="AC31" s="118"/>
      <c r="AD31" s="118">
        <v>1500</v>
      </c>
      <c r="AE31" s="54"/>
      <c r="AF31" s="118"/>
      <c r="AG31" s="118"/>
      <c r="AH31" s="118"/>
      <c r="AI31" s="118"/>
      <c r="AJ31" s="118">
        <f>60+206.9</f>
        <v>266.89999999999998</v>
      </c>
      <c r="AK31" s="306">
        <f t="shared" si="2"/>
        <v>120</v>
      </c>
      <c r="AL31" s="87">
        <f t="shared" si="3"/>
        <v>36000</v>
      </c>
      <c r="AM31" s="53">
        <f t="shared" si="4"/>
        <v>37766.9</v>
      </c>
      <c r="AN31" s="87">
        <f t="shared" si="7"/>
        <v>37766.9</v>
      </c>
      <c r="AO31" s="56">
        <f t="shared" si="5"/>
        <v>300</v>
      </c>
      <c r="AQ31" s="263">
        <f>AV31</f>
        <v>3776.6900000000005</v>
      </c>
      <c r="AR31" s="263">
        <v>0</v>
      </c>
      <c r="AS31" s="263">
        <v>0</v>
      </c>
      <c r="AT31" s="263">
        <v>0</v>
      </c>
      <c r="AU31" s="263">
        <v>0</v>
      </c>
      <c r="AV31" s="326">
        <f>AN31*10%</f>
        <v>3776.6900000000005</v>
      </c>
      <c r="AW31" s="263">
        <v>0</v>
      </c>
      <c r="AX31" s="263">
        <v>0</v>
      </c>
      <c r="AY31" s="263">
        <v>0</v>
      </c>
      <c r="AZ31" s="263">
        <v>0</v>
      </c>
      <c r="BA31" s="264"/>
      <c r="BB31" s="264"/>
      <c r="BC31" s="264"/>
      <c r="BD31" s="264"/>
      <c r="BE31" s="264"/>
      <c r="BF31" s="264"/>
      <c r="BG31" s="309"/>
    </row>
    <row r="32" spans="1:59" s="35" customFormat="1" x14ac:dyDescent="0.25">
      <c r="A32" s="276">
        <v>31</v>
      </c>
      <c r="B32" s="286">
        <v>45752</v>
      </c>
      <c r="C32" s="287" t="s">
        <v>226</v>
      </c>
      <c r="D32" s="287" t="s">
        <v>79</v>
      </c>
      <c r="E32" s="287" t="s">
        <v>3</v>
      </c>
      <c r="F32" s="287" t="s">
        <v>9</v>
      </c>
      <c r="G32" s="287" t="s">
        <v>171</v>
      </c>
      <c r="H32" s="339">
        <v>609</v>
      </c>
      <c r="I32" s="287" t="s">
        <v>227</v>
      </c>
      <c r="J32" s="39"/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/>
      <c r="R32" s="12">
        <f t="shared" si="0"/>
        <v>0</v>
      </c>
      <c r="S32" s="41">
        <f t="shared" si="6"/>
        <v>0</v>
      </c>
      <c r="T32" s="41">
        <f t="shared" si="8"/>
        <v>0</v>
      </c>
      <c r="U32" s="49">
        <v>523.52300000000002</v>
      </c>
      <c r="V32" s="90">
        <v>110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49">
        <v>0</v>
      </c>
      <c r="AF32" s="90">
        <v>0</v>
      </c>
      <c r="AG32" s="90">
        <v>0</v>
      </c>
      <c r="AH32" s="90">
        <v>0</v>
      </c>
      <c r="AI32" s="90">
        <v>0</v>
      </c>
      <c r="AJ32" s="90">
        <v>0</v>
      </c>
      <c r="AK32" s="73">
        <f t="shared" si="2"/>
        <v>110</v>
      </c>
      <c r="AL32" s="83">
        <f t="shared" si="3"/>
        <v>57587.530000000006</v>
      </c>
      <c r="AM32" s="41">
        <f t="shared" si="4"/>
        <v>57587.530000000006</v>
      </c>
      <c r="AN32" s="83">
        <f t="shared" si="7"/>
        <v>57587.530000000006</v>
      </c>
      <c r="AO32" s="49">
        <f t="shared" si="5"/>
        <v>523.52300000000002</v>
      </c>
      <c r="AP32" s="39"/>
      <c r="AQ32" s="10"/>
      <c r="AR32" s="10"/>
      <c r="AS32" s="16"/>
      <c r="AT32" s="16"/>
      <c r="AU32" s="16"/>
      <c r="AV32" s="16"/>
      <c r="AW32" s="10">
        <v>0</v>
      </c>
      <c r="AX32" s="10">
        <v>0</v>
      </c>
      <c r="AY32" s="10">
        <v>0</v>
      </c>
      <c r="AZ32" s="10">
        <v>0</v>
      </c>
      <c r="BA32" s="16"/>
      <c r="BB32" s="16"/>
      <c r="BC32" s="16"/>
      <c r="BD32" s="16"/>
      <c r="BE32" s="10"/>
      <c r="BF32" s="10"/>
      <c r="BG32" s="21"/>
    </row>
    <row r="33" spans="1:59" s="35" customFormat="1" x14ac:dyDescent="0.25">
      <c r="A33" s="276">
        <v>32</v>
      </c>
      <c r="B33" s="286">
        <v>45759</v>
      </c>
      <c r="C33" s="287" t="s">
        <v>78</v>
      </c>
      <c r="D33" s="287" t="s">
        <v>16</v>
      </c>
      <c r="E33" s="287" t="s">
        <v>18</v>
      </c>
      <c r="F33" s="287" t="s">
        <v>9</v>
      </c>
      <c r="G33" s="287" t="s">
        <v>171</v>
      </c>
      <c r="H33" s="339">
        <v>477</v>
      </c>
      <c r="I33" s="287" t="s">
        <v>222</v>
      </c>
      <c r="J33" s="59"/>
      <c r="K33" s="45">
        <v>0</v>
      </c>
      <c r="L33" s="45">
        <v>0</v>
      </c>
      <c r="M33" s="45"/>
      <c r="N33" s="45"/>
      <c r="O33" s="45"/>
      <c r="P33" s="45"/>
      <c r="Q33" s="45"/>
      <c r="R33" s="12">
        <f t="shared" si="0"/>
        <v>0</v>
      </c>
      <c r="S33" s="41">
        <f t="shared" si="6"/>
        <v>0</v>
      </c>
      <c r="T33" s="41">
        <f t="shared" si="8"/>
        <v>0</v>
      </c>
      <c r="U33" s="49">
        <v>775</v>
      </c>
      <c r="V33" s="45">
        <f>99+21</f>
        <v>120</v>
      </c>
      <c r="W33" s="45">
        <v>0</v>
      </c>
      <c r="X33" s="45">
        <v>0</v>
      </c>
      <c r="Y33" s="45">
        <v>10068</v>
      </c>
      <c r="Z33" s="45"/>
      <c r="AA33" s="45"/>
      <c r="AB33" s="45"/>
      <c r="AC33" s="45"/>
      <c r="AD33" s="45"/>
      <c r="AE33" s="84">
        <v>64</v>
      </c>
      <c r="AF33" s="45">
        <v>120</v>
      </c>
      <c r="AG33" s="48">
        <f>AE33*AF33</f>
        <v>7680</v>
      </c>
      <c r="AH33" s="48"/>
      <c r="AI33" s="48"/>
      <c r="AJ33" s="48"/>
      <c r="AK33" s="73">
        <f t="shared" si="2"/>
        <v>120</v>
      </c>
      <c r="AL33" s="41">
        <f t="shared" si="3"/>
        <v>93000</v>
      </c>
      <c r="AM33" s="41">
        <f>AL33+AJ33+AI33+AH33+AG33+AD33+AC33+AB33+AA33+Z33+Y33+X33</f>
        <v>110748</v>
      </c>
      <c r="AN33" s="83">
        <f t="shared" si="7"/>
        <v>110748</v>
      </c>
      <c r="AO33" s="50">
        <f t="shared" si="5"/>
        <v>839</v>
      </c>
      <c r="AP33" s="39"/>
      <c r="AQ33" s="10"/>
      <c r="AR33" s="10"/>
      <c r="AS33" s="16"/>
      <c r="AT33" s="16">
        <f>AN33*10%</f>
        <v>11074.800000000001</v>
      </c>
      <c r="AU33" s="16">
        <v>0</v>
      </c>
      <c r="AV33" s="16"/>
      <c r="AW33" s="10">
        <v>0</v>
      </c>
      <c r="AX33" s="10">
        <v>0</v>
      </c>
      <c r="AY33" s="10">
        <v>0</v>
      </c>
      <c r="AZ33" s="10">
        <v>0</v>
      </c>
      <c r="BA33" s="16"/>
      <c r="BB33" s="16"/>
      <c r="BC33" s="16"/>
      <c r="BD33" s="16"/>
      <c r="BE33" s="16"/>
      <c r="BF33" s="16"/>
      <c r="BG33" s="21"/>
    </row>
    <row r="34" spans="1:59" s="35" customFormat="1" x14ac:dyDescent="0.25">
      <c r="A34" s="276">
        <v>33</v>
      </c>
      <c r="B34" s="286">
        <v>45759</v>
      </c>
      <c r="C34" s="287" t="s">
        <v>228</v>
      </c>
      <c r="D34" s="287" t="s">
        <v>79</v>
      </c>
      <c r="E34" s="287" t="s">
        <v>3</v>
      </c>
      <c r="F34" s="287" t="s">
        <v>9</v>
      </c>
      <c r="G34" s="287" t="s">
        <v>171</v>
      </c>
      <c r="H34" s="339">
        <v>608</v>
      </c>
      <c r="I34" s="287" t="s">
        <v>13</v>
      </c>
      <c r="J34" s="39"/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/>
      <c r="R34" s="12">
        <f t="shared" si="0"/>
        <v>0</v>
      </c>
      <c r="S34" s="41">
        <f t="shared" si="6"/>
        <v>0</v>
      </c>
      <c r="T34" s="41">
        <f t="shared" si="8"/>
        <v>0</v>
      </c>
      <c r="U34" s="49">
        <v>1712</v>
      </c>
      <c r="V34" s="90">
        <v>143.14778000000001</v>
      </c>
      <c r="W34" s="90">
        <v>0</v>
      </c>
      <c r="X34" s="90">
        <f>15*250</f>
        <v>3750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49"/>
      <c r="AF34" s="90"/>
      <c r="AG34" s="90">
        <v>0</v>
      </c>
      <c r="AH34" s="90">
        <v>0</v>
      </c>
      <c r="AI34" s="40">
        <v>0</v>
      </c>
      <c r="AJ34" s="40">
        <v>0</v>
      </c>
      <c r="AK34" s="73">
        <f t="shared" ref="AK34:AK65" si="9">V34+W34</f>
        <v>143.14778000000001</v>
      </c>
      <c r="AL34" s="83">
        <f t="shared" si="3"/>
        <v>245068.99936000002</v>
      </c>
      <c r="AM34" s="41">
        <f t="shared" ref="AM34:AM40" si="10">AL34+AJ34+AI34+AH34+AG34+AF34+AE34+AD34++AC34+AB34+AA34+Z34+Y34+X34</f>
        <v>248818.99936000002</v>
      </c>
      <c r="AN34" s="83">
        <f>AM34+T34+80</f>
        <v>248898.99936000002</v>
      </c>
      <c r="AO34" s="49">
        <f t="shared" si="5"/>
        <v>1712</v>
      </c>
      <c r="AP34" s="39"/>
      <c r="AQ34" s="10">
        <f>AN34*10%</f>
        <v>24889.899936000002</v>
      </c>
      <c r="AR34" s="10">
        <v>0</v>
      </c>
      <c r="AS34" s="16">
        <v>0</v>
      </c>
      <c r="AT34" s="16">
        <v>0</v>
      </c>
      <c r="AU34" s="16">
        <v>0</v>
      </c>
      <c r="AV34" s="16">
        <f>AQ34</f>
        <v>24889.899936000002</v>
      </c>
      <c r="AW34" s="16">
        <v>0</v>
      </c>
      <c r="AX34" s="16">
        <v>0</v>
      </c>
      <c r="AY34" s="16">
        <v>0</v>
      </c>
      <c r="AZ34" s="18"/>
      <c r="BA34" s="16"/>
      <c r="BB34" s="16"/>
      <c r="BC34" s="16"/>
      <c r="BD34" s="16"/>
      <c r="BE34" s="10"/>
      <c r="BF34" s="10"/>
      <c r="BG34" s="21"/>
    </row>
    <row r="35" spans="1:59" s="35" customFormat="1" x14ac:dyDescent="0.25">
      <c r="A35" s="276">
        <v>34</v>
      </c>
      <c r="B35" s="286">
        <v>45759</v>
      </c>
      <c r="C35" s="287" t="s">
        <v>229</v>
      </c>
      <c r="D35" s="287" t="s">
        <v>70</v>
      </c>
      <c r="E35" s="287" t="s">
        <v>3</v>
      </c>
      <c r="F35" s="287" t="s">
        <v>9</v>
      </c>
      <c r="G35" s="287" t="s">
        <v>171</v>
      </c>
      <c r="H35" s="339">
        <v>618</v>
      </c>
      <c r="I35" s="287" t="s">
        <v>230</v>
      </c>
      <c r="J35" s="39"/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/>
      <c r="R35" s="12">
        <f t="shared" si="0"/>
        <v>0</v>
      </c>
      <c r="S35" s="41">
        <f t="shared" si="6"/>
        <v>0</v>
      </c>
      <c r="T35" s="88">
        <f t="shared" si="8"/>
        <v>0</v>
      </c>
      <c r="U35" s="49">
        <v>367</v>
      </c>
      <c r="V35" s="90">
        <v>90</v>
      </c>
      <c r="W35" s="40"/>
      <c r="X35" s="40"/>
      <c r="Y35" s="40"/>
      <c r="Z35" s="40"/>
      <c r="AA35" s="40"/>
      <c r="AB35" s="40"/>
      <c r="AC35" s="40"/>
      <c r="AD35" s="40"/>
      <c r="AE35" s="49"/>
      <c r="AF35" s="40"/>
      <c r="AG35" s="40"/>
      <c r="AH35" s="40"/>
      <c r="AI35" s="40"/>
      <c r="AJ35" s="40"/>
      <c r="AK35" s="73">
        <f t="shared" si="9"/>
        <v>90</v>
      </c>
      <c r="AL35" s="83">
        <f t="shared" si="3"/>
        <v>33030</v>
      </c>
      <c r="AM35" s="41">
        <f t="shared" si="10"/>
        <v>33030</v>
      </c>
      <c r="AN35" s="83">
        <f t="shared" ref="AN35:AN40" si="11">AM35+T35</f>
        <v>33030</v>
      </c>
      <c r="AO35" s="49">
        <f t="shared" si="5"/>
        <v>367</v>
      </c>
      <c r="AP35" s="39"/>
      <c r="AQ35" s="10">
        <v>0</v>
      </c>
      <c r="AR35" s="10"/>
      <c r="AS35" s="16">
        <v>0</v>
      </c>
      <c r="AT35" s="16">
        <v>0</v>
      </c>
      <c r="AU35" s="16">
        <f>AN35*10%</f>
        <v>3303</v>
      </c>
      <c r="AV35" s="16"/>
      <c r="AW35" s="16">
        <v>0</v>
      </c>
      <c r="AX35" s="16"/>
      <c r="AY35" s="16">
        <v>0</v>
      </c>
      <c r="AZ35" s="18"/>
      <c r="BA35" s="16"/>
      <c r="BB35" s="16"/>
      <c r="BC35" s="16"/>
      <c r="BD35" s="16"/>
      <c r="BE35" s="16"/>
      <c r="BF35" s="16"/>
      <c r="BG35" s="21"/>
    </row>
    <row r="36" spans="1:59" s="35" customFormat="1" x14ac:dyDescent="0.25">
      <c r="A36" s="276">
        <v>35</v>
      </c>
      <c r="B36" s="286">
        <v>45770</v>
      </c>
      <c r="C36" s="287" t="s">
        <v>231</v>
      </c>
      <c r="D36" s="287" t="s">
        <v>221</v>
      </c>
      <c r="E36" s="287" t="s">
        <v>11</v>
      </c>
      <c r="F36" s="287" t="s">
        <v>192</v>
      </c>
      <c r="G36" s="287" t="s">
        <v>171</v>
      </c>
      <c r="H36" s="339">
        <v>625</v>
      </c>
      <c r="I36" s="287" t="s">
        <v>218</v>
      </c>
      <c r="J36" s="39"/>
      <c r="K36" s="40">
        <v>0</v>
      </c>
      <c r="L36" s="40"/>
      <c r="M36" s="40">
        <v>0</v>
      </c>
      <c r="N36" s="40">
        <v>0</v>
      </c>
      <c r="O36" s="40">
        <v>0</v>
      </c>
      <c r="P36" s="40">
        <v>0</v>
      </c>
      <c r="Q36" s="40"/>
      <c r="R36" s="12">
        <f t="shared" si="0"/>
        <v>0</v>
      </c>
      <c r="S36" s="41">
        <f t="shared" ref="S36:S67" si="12">(K36+L36)*U36</f>
        <v>0</v>
      </c>
      <c r="T36" s="88">
        <f t="shared" si="8"/>
        <v>0</v>
      </c>
      <c r="U36" s="49">
        <v>66</v>
      </c>
      <c r="V36" s="90">
        <v>38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9">
        <v>0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73">
        <f t="shared" si="9"/>
        <v>38</v>
      </c>
      <c r="AL36" s="89">
        <f t="shared" si="3"/>
        <v>2508</v>
      </c>
      <c r="AM36" s="41">
        <f t="shared" si="10"/>
        <v>2508</v>
      </c>
      <c r="AN36" s="83">
        <f t="shared" si="11"/>
        <v>2508</v>
      </c>
      <c r="AO36" s="49">
        <f t="shared" si="5"/>
        <v>66</v>
      </c>
      <c r="AP36" s="39"/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/>
      <c r="AW36" s="10">
        <v>0</v>
      </c>
      <c r="AX36" s="10">
        <v>0</v>
      </c>
      <c r="AY36" s="10">
        <v>0</v>
      </c>
      <c r="AZ36" s="10">
        <v>0</v>
      </c>
      <c r="BA36" s="16"/>
      <c r="BB36" s="16"/>
      <c r="BC36" s="16"/>
      <c r="BD36" s="16"/>
      <c r="BE36" s="10"/>
      <c r="BF36" s="10"/>
      <c r="BG36" s="21"/>
    </row>
    <row r="37" spans="1:59" s="35" customFormat="1" x14ac:dyDescent="0.25">
      <c r="A37" s="276">
        <v>36</v>
      </c>
      <c r="B37" s="286">
        <v>45771</v>
      </c>
      <c r="C37" s="287" t="s">
        <v>232</v>
      </c>
      <c r="D37" s="287" t="s">
        <v>149</v>
      </c>
      <c r="E37" s="287" t="s">
        <v>74</v>
      </c>
      <c r="F37" s="287" t="s">
        <v>192</v>
      </c>
      <c r="G37" s="287" t="s">
        <v>171</v>
      </c>
      <c r="H37" s="339">
        <v>627</v>
      </c>
      <c r="I37" s="287" t="s">
        <v>149</v>
      </c>
      <c r="J37" s="36"/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/>
      <c r="R37" s="12">
        <f t="shared" si="0"/>
        <v>0</v>
      </c>
      <c r="S37" s="41">
        <f t="shared" si="12"/>
        <v>0</v>
      </c>
      <c r="T37" s="32">
        <f t="shared" si="8"/>
        <v>0</v>
      </c>
      <c r="U37" s="33">
        <v>10</v>
      </c>
      <c r="V37" s="36">
        <v>49</v>
      </c>
      <c r="W37" s="36">
        <v>0</v>
      </c>
      <c r="X37" s="36">
        <f>720+350</f>
        <v>1070</v>
      </c>
      <c r="Y37" s="92">
        <v>0</v>
      </c>
      <c r="Z37" s="92">
        <v>0</v>
      </c>
      <c r="AA37" s="92">
        <v>0</v>
      </c>
      <c r="AB37" s="92">
        <v>0</v>
      </c>
      <c r="AC37" s="36"/>
      <c r="AD37" s="36"/>
      <c r="AE37" s="33"/>
      <c r="AF37" s="36"/>
      <c r="AG37" s="36"/>
      <c r="AH37" s="36"/>
      <c r="AI37" s="36"/>
      <c r="AJ37" s="36">
        <v>233</v>
      </c>
      <c r="AK37" s="73">
        <f t="shared" si="9"/>
        <v>49</v>
      </c>
      <c r="AL37" s="93">
        <f t="shared" si="3"/>
        <v>490</v>
      </c>
      <c r="AM37" s="32">
        <f t="shared" si="10"/>
        <v>1793</v>
      </c>
      <c r="AN37" s="94">
        <f t="shared" si="11"/>
        <v>1793</v>
      </c>
      <c r="AO37" s="33">
        <f t="shared" si="5"/>
        <v>10</v>
      </c>
      <c r="AP37" s="39"/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29"/>
      <c r="AW37" s="10">
        <v>0</v>
      </c>
      <c r="AX37" s="10">
        <v>0</v>
      </c>
      <c r="AY37" s="10">
        <v>0</v>
      </c>
      <c r="AZ37" s="10">
        <v>0</v>
      </c>
      <c r="BA37" s="16"/>
      <c r="BB37" s="16"/>
      <c r="BC37" s="16"/>
      <c r="BD37" s="16"/>
      <c r="BE37" s="16"/>
      <c r="BF37" s="16"/>
      <c r="BG37" s="21"/>
    </row>
    <row r="38" spans="1:59" s="35" customFormat="1" x14ac:dyDescent="0.25">
      <c r="A38" s="276">
        <v>37</v>
      </c>
      <c r="B38" s="286">
        <v>45773</v>
      </c>
      <c r="C38" s="287" t="s">
        <v>233</v>
      </c>
      <c r="D38" s="287" t="s">
        <v>16</v>
      </c>
      <c r="E38" s="287" t="s">
        <v>18</v>
      </c>
      <c r="F38" s="287" t="s">
        <v>9</v>
      </c>
      <c r="G38" s="287" t="s">
        <v>171</v>
      </c>
      <c r="H38" s="339">
        <v>478</v>
      </c>
      <c r="I38" s="287" t="s">
        <v>222</v>
      </c>
      <c r="J38" s="59"/>
      <c r="K38" s="45">
        <v>0</v>
      </c>
      <c r="L38" s="45">
        <v>0</v>
      </c>
      <c r="M38" s="45"/>
      <c r="N38" s="45"/>
      <c r="O38" s="45"/>
      <c r="P38" s="45"/>
      <c r="Q38" s="45"/>
      <c r="R38" s="12">
        <f t="shared" si="0"/>
        <v>0</v>
      </c>
      <c r="S38" s="41">
        <f t="shared" si="12"/>
        <v>0</v>
      </c>
      <c r="T38" s="41">
        <f t="shared" si="8"/>
        <v>0</v>
      </c>
      <c r="U38" s="49">
        <v>860</v>
      </c>
      <c r="V38" s="45">
        <f>99+21</f>
        <v>120</v>
      </c>
      <c r="W38" s="45">
        <v>0</v>
      </c>
      <c r="X38" s="45">
        <v>0</v>
      </c>
      <c r="Y38" s="45"/>
      <c r="Z38" s="45"/>
      <c r="AA38" s="45"/>
      <c r="AB38" s="45"/>
      <c r="AC38" s="45"/>
      <c r="AD38" s="45"/>
      <c r="AE38" s="84">
        <v>86</v>
      </c>
      <c r="AF38" s="45">
        <v>120</v>
      </c>
      <c r="AG38" s="45">
        <f>AE38*AF38</f>
        <v>10320</v>
      </c>
      <c r="AH38" s="45"/>
      <c r="AI38" s="45"/>
      <c r="AJ38" s="45"/>
      <c r="AK38" s="73">
        <f t="shared" si="9"/>
        <v>120</v>
      </c>
      <c r="AL38" s="41">
        <f t="shared" si="3"/>
        <v>103200</v>
      </c>
      <c r="AM38" s="41">
        <f t="shared" si="10"/>
        <v>113726</v>
      </c>
      <c r="AN38" s="83">
        <f t="shared" si="11"/>
        <v>113726</v>
      </c>
      <c r="AO38" s="50">
        <f t="shared" si="5"/>
        <v>946</v>
      </c>
      <c r="AP38" s="39"/>
      <c r="AQ38" s="10">
        <v>0</v>
      </c>
      <c r="AR38" s="10">
        <v>0</v>
      </c>
      <c r="AS38" s="16">
        <v>0</v>
      </c>
      <c r="AT38" s="16">
        <f>AN38*10%</f>
        <v>11372.6</v>
      </c>
      <c r="AU38" s="16">
        <v>0</v>
      </c>
      <c r="AV38" s="16"/>
      <c r="AW38" s="16">
        <v>0</v>
      </c>
      <c r="AX38" s="16">
        <v>0</v>
      </c>
      <c r="AY38" s="16">
        <v>0</v>
      </c>
      <c r="AZ38" s="18"/>
      <c r="BA38" s="16"/>
      <c r="BB38" s="16"/>
      <c r="BC38" s="16"/>
      <c r="BD38" s="16"/>
      <c r="BE38" s="10"/>
      <c r="BF38" s="10"/>
      <c r="BG38" s="21"/>
    </row>
    <row r="39" spans="1:59" s="35" customFormat="1" x14ac:dyDescent="0.25">
      <c r="A39" s="276">
        <v>38</v>
      </c>
      <c r="B39" s="327">
        <v>45773</v>
      </c>
      <c r="C39" s="328" t="s">
        <v>234</v>
      </c>
      <c r="D39" s="328" t="s">
        <v>235</v>
      </c>
      <c r="E39" s="328" t="s">
        <v>74</v>
      </c>
      <c r="F39" s="328" t="s">
        <v>192</v>
      </c>
      <c r="G39" s="328" t="s">
        <v>171</v>
      </c>
      <c r="H39" s="340">
        <v>638</v>
      </c>
      <c r="I39" s="328" t="s">
        <v>235</v>
      </c>
      <c r="J39" s="329"/>
      <c r="K39" s="330">
        <v>0</v>
      </c>
      <c r="L39" s="330">
        <v>0</v>
      </c>
      <c r="M39" s="330">
        <v>0</v>
      </c>
      <c r="N39" s="330">
        <v>0</v>
      </c>
      <c r="O39" s="330">
        <v>0</v>
      </c>
      <c r="P39" s="330">
        <v>0</v>
      </c>
      <c r="Q39" s="330"/>
      <c r="R39" s="311">
        <f t="shared" si="0"/>
        <v>0</v>
      </c>
      <c r="S39" s="331">
        <f t="shared" si="12"/>
        <v>0</v>
      </c>
      <c r="T39" s="331">
        <f t="shared" si="8"/>
        <v>0</v>
      </c>
      <c r="U39" s="332">
        <v>170</v>
      </c>
      <c r="V39" s="329">
        <v>39</v>
      </c>
      <c r="W39" s="329">
        <v>0</v>
      </c>
      <c r="X39" s="329">
        <v>0</v>
      </c>
      <c r="Y39" s="329">
        <v>0</v>
      </c>
      <c r="Z39" s="329">
        <v>0</v>
      </c>
      <c r="AA39" s="329">
        <v>0</v>
      </c>
      <c r="AB39" s="329">
        <v>0</v>
      </c>
      <c r="AC39" s="329">
        <v>0</v>
      </c>
      <c r="AD39" s="329">
        <v>0</v>
      </c>
      <c r="AE39" s="332">
        <v>0</v>
      </c>
      <c r="AF39" s="329">
        <v>0</v>
      </c>
      <c r="AG39" s="329">
        <v>0</v>
      </c>
      <c r="AH39" s="329">
        <v>0</v>
      </c>
      <c r="AI39" s="329">
        <v>0</v>
      </c>
      <c r="AJ39" s="329">
        <v>0</v>
      </c>
      <c r="AK39" s="333">
        <f t="shared" si="9"/>
        <v>39</v>
      </c>
      <c r="AL39" s="313">
        <f t="shared" si="3"/>
        <v>6630</v>
      </c>
      <c r="AM39" s="331">
        <f t="shared" si="10"/>
        <v>6630</v>
      </c>
      <c r="AN39" s="334">
        <f t="shared" si="11"/>
        <v>6630</v>
      </c>
      <c r="AO39" s="332">
        <f t="shared" si="5"/>
        <v>170</v>
      </c>
      <c r="AQ39" s="335">
        <v>0</v>
      </c>
      <c r="AR39" s="335">
        <v>0</v>
      </c>
      <c r="AS39" s="335">
        <v>0</v>
      </c>
      <c r="AT39" s="335">
        <v>0</v>
      </c>
      <c r="AU39" s="335">
        <v>0</v>
      </c>
      <c r="AV39" s="335"/>
      <c r="AW39" s="335">
        <v>0</v>
      </c>
      <c r="AX39" s="335">
        <v>0</v>
      </c>
      <c r="AY39" s="335">
        <v>0</v>
      </c>
      <c r="AZ39" s="335">
        <v>0</v>
      </c>
      <c r="BA39" s="336"/>
      <c r="BB39" s="336"/>
      <c r="BC39" s="336"/>
      <c r="BD39" s="336"/>
      <c r="BE39" s="336"/>
      <c r="BF39" s="336"/>
      <c r="BG39" s="337"/>
    </row>
    <row r="40" spans="1:59" s="35" customFormat="1" x14ac:dyDescent="0.25">
      <c r="A40" s="276">
        <v>39</v>
      </c>
      <c r="B40" s="286">
        <v>45776</v>
      </c>
      <c r="C40" s="287" t="s">
        <v>236</v>
      </c>
      <c r="D40" s="287" t="s">
        <v>401</v>
      </c>
      <c r="E40" s="287" t="s">
        <v>3</v>
      </c>
      <c r="F40" s="287" t="s">
        <v>217</v>
      </c>
      <c r="G40" s="287" t="s">
        <v>171</v>
      </c>
      <c r="H40" s="339">
        <v>628</v>
      </c>
      <c r="I40" s="287"/>
      <c r="J40" s="39"/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/>
      <c r="R40" s="12">
        <f t="shared" si="0"/>
        <v>0</v>
      </c>
      <c r="S40" s="41">
        <f t="shared" si="12"/>
        <v>0</v>
      </c>
      <c r="T40" s="41">
        <f t="shared" si="8"/>
        <v>0</v>
      </c>
      <c r="U40" s="49">
        <v>1</v>
      </c>
      <c r="V40" s="90">
        <v>1000</v>
      </c>
      <c r="W40" s="40"/>
      <c r="X40" s="40"/>
      <c r="Y40" s="40"/>
      <c r="Z40" s="40"/>
      <c r="AA40" s="40"/>
      <c r="AB40" s="40"/>
      <c r="AC40" s="40"/>
      <c r="AD40" s="40"/>
      <c r="AE40" s="49"/>
      <c r="AF40" s="40"/>
      <c r="AG40" s="40"/>
      <c r="AH40" s="40"/>
      <c r="AI40" s="40"/>
      <c r="AJ40" s="40"/>
      <c r="AK40" s="73">
        <f t="shared" si="9"/>
        <v>1000</v>
      </c>
      <c r="AL40" s="89">
        <f t="shared" si="3"/>
        <v>1000</v>
      </c>
      <c r="AM40" s="41">
        <f t="shared" si="10"/>
        <v>1000</v>
      </c>
      <c r="AN40" s="83">
        <f t="shared" si="11"/>
        <v>1000</v>
      </c>
      <c r="AO40" s="49">
        <f t="shared" si="5"/>
        <v>1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/>
      <c r="AW40" s="10">
        <v>0</v>
      </c>
      <c r="AX40" s="10">
        <v>0</v>
      </c>
      <c r="AY40" s="10">
        <v>0</v>
      </c>
      <c r="AZ40" s="10">
        <v>0</v>
      </c>
      <c r="BA40" s="16"/>
      <c r="BB40" s="16"/>
      <c r="BC40" s="16"/>
      <c r="BD40" s="16"/>
      <c r="BE40" s="10"/>
      <c r="BF40" s="10"/>
      <c r="BG40" s="21"/>
    </row>
    <row r="41" spans="1:59" s="35" customFormat="1" x14ac:dyDescent="0.25">
      <c r="A41" s="276">
        <v>40</v>
      </c>
      <c r="B41" s="290">
        <v>45778</v>
      </c>
      <c r="C41" s="291" t="s">
        <v>237</v>
      </c>
      <c r="D41" s="291" t="s">
        <v>16</v>
      </c>
      <c r="E41" s="291" t="s">
        <v>3</v>
      </c>
      <c r="F41" s="291" t="s">
        <v>217</v>
      </c>
      <c r="G41" s="291" t="s">
        <v>171</v>
      </c>
      <c r="H41" s="291">
        <v>599</v>
      </c>
      <c r="I41" s="291" t="s">
        <v>238</v>
      </c>
      <c r="J41" s="47"/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/>
      <c r="R41" s="12">
        <f t="shared" si="0"/>
        <v>0</v>
      </c>
      <c r="S41" s="41">
        <f t="shared" si="12"/>
        <v>0</v>
      </c>
      <c r="T41" s="41">
        <f t="shared" si="8"/>
        <v>0</v>
      </c>
      <c r="U41" s="49">
        <f>2500*3</f>
        <v>7500</v>
      </c>
      <c r="V41" s="48">
        <v>72.14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9">
        <f>506</f>
        <v>506</v>
      </c>
      <c r="AF41" s="48">
        <v>216.42</v>
      </c>
      <c r="AG41" s="45">
        <f t="shared" ref="AG41:AG71" si="13">AE41*AF41</f>
        <v>109508.51999999999</v>
      </c>
      <c r="AH41" s="48">
        <v>0</v>
      </c>
      <c r="AI41" s="48">
        <v>0</v>
      </c>
      <c r="AJ41" s="48">
        <v>0</v>
      </c>
      <c r="AK41" s="73">
        <f t="shared" si="9"/>
        <v>72.14</v>
      </c>
      <c r="AL41" s="83">
        <f t="shared" si="3"/>
        <v>541050</v>
      </c>
      <c r="AM41" s="41">
        <f>AG41+AH41+AI41+AJ41+AD41+AC41+AB41+AA41+Z41+Y41</f>
        <v>109508.51999999999</v>
      </c>
      <c r="AN41" s="83">
        <f>AM41+T41+AL41</f>
        <v>650558.52</v>
      </c>
      <c r="AO41" s="50">
        <f t="shared" si="5"/>
        <v>8006</v>
      </c>
      <c r="AQ41" s="10">
        <v>0</v>
      </c>
      <c r="AR41" s="10">
        <v>0</v>
      </c>
      <c r="AS41" s="16">
        <v>0</v>
      </c>
      <c r="AT41" s="16">
        <f>AN40*10%</f>
        <v>100</v>
      </c>
      <c r="AU41" s="16">
        <v>0</v>
      </c>
      <c r="AV41" s="29"/>
      <c r="AW41" s="16">
        <v>0</v>
      </c>
      <c r="AX41" s="16">
        <v>0</v>
      </c>
      <c r="AY41" s="16">
        <v>0</v>
      </c>
      <c r="AZ41" s="128"/>
      <c r="BA41" s="16"/>
      <c r="BB41" s="16"/>
      <c r="BC41" s="16"/>
      <c r="BD41" s="16"/>
      <c r="BE41" s="16"/>
      <c r="BF41" s="16"/>
      <c r="BG41" s="21"/>
    </row>
    <row r="42" spans="1:59" x14ac:dyDescent="0.25">
      <c r="A42" s="47">
        <v>41</v>
      </c>
      <c r="B42" s="102">
        <v>45787</v>
      </c>
      <c r="C42" s="103" t="s">
        <v>239</v>
      </c>
      <c r="D42" s="103" t="s">
        <v>240</v>
      </c>
      <c r="E42" s="103" t="s">
        <v>3</v>
      </c>
      <c r="F42" s="103" t="s">
        <v>217</v>
      </c>
      <c r="G42" s="103" t="s">
        <v>171</v>
      </c>
      <c r="H42" s="103">
        <v>650</v>
      </c>
      <c r="I42" s="103"/>
      <c r="J42" s="62"/>
      <c r="K42" s="16"/>
      <c r="L42" s="16"/>
      <c r="M42" s="16"/>
      <c r="N42" s="16"/>
      <c r="O42" s="16"/>
      <c r="P42" s="16"/>
      <c r="Q42" s="16"/>
      <c r="R42" s="12">
        <f t="shared" si="0"/>
        <v>0</v>
      </c>
      <c r="S42" s="17">
        <f t="shared" si="12"/>
        <v>0</v>
      </c>
      <c r="T42" s="17">
        <f t="shared" si="8"/>
        <v>0</v>
      </c>
      <c r="U42" s="13"/>
      <c r="V42" s="16"/>
      <c r="W42" s="16"/>
      <c r="X42" s="16"/>
      <c r="Y42" s="16"/>
      <c r="Z42" s="16"/>
      <c r="AA42" s="16"/>
      <c r="AB42" s="16"/>
      <c r="AC42" s="16"/>
      <c r="AD42" s="16"/>
      <c r="AE42" s="13"/>
      <c r="AF42" s="16"/>
      <c r="AG42" s="10">
        <f t="shared" si="13"/>
        <v>0</v>
      </c>
      <c r="AH42" s="16"/>
      <c r="AI42" s="16"/>
      <c r="AJ42" s="16"/>
      <c r="AK42" s="73">
        <f t="shared" si="9"/>
        <v>0</v>
      </c>
      <c r="AL42" s="71"/>
      <c r="AM42" s="11"/>
      <c r="AN42" s="71"/>
      <c r="AO42" s="15"/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/>
      <c r="AW42" s="10">
        <v>0</v>
      </c>
      <c r="AX42" s="10">
        <v>0</v>
      </c>
      <c r="AY42" s="10">
        <v>0</v>
      </c>
      <c r="AZ42" s="10">
        <v>0</v>
      </c>
      <c r="BA42" s="16"/>
      <c r="BB42" s="16"/>
      <c r="BC42" s="16"/>
      <c r="BD42" s="16"/>
      <c r="BE42" s="10"/>
      <c r="BF42" s="10"/>
      <c r="BG42" s="21"/>
    </row>
    <row r="43" spans="1:59" s="35" customFormat="1" x14ac:dyDescent="0.25">
      <c r="A43" s="47">
        <v>42</v>
      </c>
      <c r="B43" s="290">
        <v>45794</v>
      </c>
      <c r="C43" s="291" t="s">
        <v>241</v>
      </c>
      <c r="D43" s="291" t="s">
        <v>70</v>
      </c>
      <c r="E43" s="291" t="s">
        <v>3</v>
      </c>
      <c r="F43" s="291" t="s">
        <v>242</v>
      </c>
      <c r="G43" s="291" t="s">
        <v>171</v>
      </c>
      <c r="H43" s="291">
        <v>646</v>
      </c>
      <c r="I43" s="291"/>
      <c r="J43" s="39"/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v>0</v>
      </c>
      <c r="Q43" s="40"/>
      <c r="R43" s="12">
        <f t="shared" si="0"/>
        <v>0</v>
      </c>
      <c r="S43" s="41">
        <f t="shared" si="12"/>
        <v>0</v>
      </c>
      <c r="T43" s="41">
        <f t="shared" si="8"/>
        <v>0</v>
      </c>
      <c r="U43" s="49">
        <v>1</v>
      </c>
      <c r="V43" s="39">
        <v>1600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0</v>
      </c>
      <c r="AD43" s="39">
        <v>0</v>
      </c>
      <c r="AE43" s="49">
        <v>0</v>
      </c>
      <c r="AF43" s="39">
        <v>0</v>
      </c>
      <c r="AG43" s="45">
        <f t="shared" si="13"/>
        <v>0</v>
      </c>
      <c r="AH43" s="39">
        <v>0</v>
      </c>
      <c r="AI43" s="39">
        <v>0</v>
      </c>
      <c r="AJ43" s="39">
        <v>0</v>
      </c>
      <c r="AK43" s="73">
        <f t="shared" si="9"/>
        <v>1600</v>
      </c>
      <c r="AL43" s="89">
        <f t="shared" ref="AL43:AL74" si="14">AK43*U43</f>
        <v>1600</v>
      </c>
      <c r="AM43" s="41">
        <f>AL43+AJ43+AI43+AH43+AG43+AF43+AE43+AD43++AC43+AB43+AA43+Z43+Y43+X43</f>
        <v>1600</v>
      </c>
      <c r="AN43" s="83">
        <f>AM43+T43</f>
        <v>1600</v>
      </c>
      <c r="AO43" s="49">
        <f t="shared" ref="AO43:AO55" si="15">AE43+U43</f>
        <v>1</v>
      </c>
      <c r="AQ43" s="10">
        <v>0</v>
      </c>
      <c r="AR43" s="10">
        <v>0</v>
      </c>
      <c r="AS43" s="10">
        <v>0</v>
      </c>
      <c r="AT43" s="10">
        <v>0</v>
      </c>
      <c r="AU43" s="16">
        <f>AN42*10%</f>
        <v>0</v>
      </c>
      <c r="AV43" s="16"/>
      <c r="AW43" s="16">
        <v>0</v>
      </c>
      <c r="AX43" s="16">
        <v>0</v>
      </c>
      <c r="AY43" s="16">
        <v>0</v>
      </c>
      <c r="AZ43" s="16">
        <v>0</v>
      </c>
      <c r="BA43" s="16"/>
      <c r="BB43" s="16"/>
      <c r="BC43" s="16"/>
      <c r="BD43" s="16"/>
      <c r="BE43" s="16"/>
      <c r="BF43" s="16"/>
      <c r="BG43" s="21"/>
    </row>
    <row r="44" spans="1:59" s="35" customFormat="1" x14ac:dyDescent="0.25">
      <c r="A44" s="47">
        <v>43</v>
      </c>
      <c r="B44" s="294">
        <v>45796</v>
      </c>
      <c r="C44" s="295" t="s">
        <v>243</v>
      </c>
      <c r="D44" s="295" t="s">
        <v>244</v>
      </c>
      <c r="E44" s="295" t="s">
        <v>74</v>
      </c>
      <c r="F44" s="295" t="s">
        <v>192</v>
      </c>
      <c r="G44" s="295" t="s">
        <v>171</v>
      </c>
      <c r="H44" s="291">
        <v>640</v>
      </c>
      <c r="I44" s="291" t="s">
        <v>185</v>
      </c>
      <c r="J44" s="39"/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/>
      <c r="R44" s="12">
        <f t="shared" si="0"/>
        <v>0</v>
      </c>
      <c r="S44" s="41">
        <f t="shared" si="12"/>
        <v>0</v>
      </c>
      <c r="T44" s="41">
        <f t="shared" si="8"/>
        <v>0</v>
      </c>
      <c r="U44" s="49">
        <v>360</v>
      </c>
      <c r="V44" s="39">
        <v>39</v>
      </c>
      <c r="W44" s="39">
        <v>0</v>
      </c>
      <c r="X44" s="39">
        <f>4000+1300</f>
        <v>5300</v>
      </c>
      <c r="Y44" s="39">
        <v>0</v>
      </c>
      <c r="Z44" s="39">
        <v>0</v>
      </c>
      <c r="AA44" s="39">
        <v>0</v>
      </c>
      <c r="AB44" s="39">
        <v>0</v>
      </c>
      <c r="AC44" s="39">
        <v>0</v>
      </c>
      <c r="AD44" s="39">
        <v>0</v>
      </c>
      <c r="AE44" s="49">
        <v>0</v>
      </c>
      <c r="AF44" s="39">
        <v>0</v>
      </c>
      <c r="AG44" s="45">
        <f t="shared" si="13"/>
        <v>0</v>
      </c>
      <c r="AH44" s="39">
        <v>0</v>
      </c>
      <c r="AI44" s="39">
        <v>0</v>
      </c>
      <c r="AJ44" s="39">
        <f>21021.74-19391.74</f>
        <v>1630</v>
      </c>
      <c r="AK44" s="73">
        <f t="shared" si="9"/>
        <v>39</v>
      </c>
      <c r="AL44" s="89">
        <f t="shared" si="14"/>
        <v>14040</v>
      </c>
      <c r="AM44" s="41">
        <f>AL44+AJ44+AI44+AH44+AG44+AF44+AE44+AD44++AC44+AB44+AA44+Z44+Y44+X44</f>
        <v>20970</v>
      </c>
      <c r="AN44" s="83">
        <f>AM44+T44-1630</f>
        <v>19340</v>
      </c>
      <c r="AO44" s="49">
        <f t="shared" si="15"/>
        <v>360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/>
      <c r="AW44" s="10">
        <v>0</v>
      </c>
      <c r="AX44" s="10">
        <v>0</v>
      </c>
      <c r="AY44" s="10">
        <v>0</v>
      </c>
      <c r="AZ44" s="10">
        <v>0</v>
      </c>
      <c r="BA44" s="16"/>
      <c r="BB44" s="16"/>
      <c r="BC44" s="16"/>
      <c r="BD44" s="16"/>
      <c r="BE44" s="10"/>
      <c r="BF44" s="10"/>
      <c r="BG44" s="21"/>
    </row>
    <row r="45" spans="1:59" s="35" customFormat="1" x14ac:dyDescent="0.25">
      <c r="A45" s="47">
        <v>44</v>
      </c>
      <c r="B45" s="294">
        <v>45799</v>
      </c>
      <c r="C45" s="295" t="s">
        <v>245</v>
      </c>
      <c r="D45" s="295" t="s">
        <v>221</v>
      </c>
      <c r="E45" s="295" t="s">
        <v>11</v>
      </c>
      <c r="F45" s="295" t="s">
        <v>192</v>
      </c>
      <c r="G45" s="295" t="s">
        <v>171</v>
      </c>
      <c r="H45" s="291">
        <v>655</v>
      </c>
      <c r="I45" s="291" t="s">
        <v>246</v>
      </c>
      <c r="J45" s="39"/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/>
      <c r="R45" s="12">
        <f t="shared" si="0"/>
        <v>0</v>
      </c>
      <c r="S45" s="41">
        <f t="shared" si="12"/>
        <v>0</v>
      </c>
      <c r="T45" s="41">
        <f t="shared" si="8"/>
        <v>0</v>
      </c>
      <c r="U45" s="49">
        <v>30</v>
      </c>
      <c r="V45" s="39">
        <v>45</v>
      </c>
      <c r="W45" s="39"/>
      <c r="X45" s="39">
        <v>250</v>
      </c>
      <c r="Y45" s="39"/>
      <c r="Z45" s="39"/>
      <c r="AA45" s="39"/>
      <c r="AB45" s="39"/>
      <c r="AC45" s="39"/>
      <c r="AD45" s="39"/>
      <c r="AE45" s="49"/>
      <c r="AF45" s="39"/>
      <c r="AG45" s="45">
        <f t="shared" si="13"/>
        <v>0</v>
      </c>
      <c r="AH45" s="39"/>
      <c r="AI45" s="39"/>
      <c r="AJ45" s="39"/>
      <c r="AK45" s="73">
        <f t="shared" si="9"/>
        <v>45</v>
      </c>
      <c r="AL45" s="89">
        <f t="shared" si="14"/>
        <v>1350</v>
      </c>
      <c r="AM45" s="41">
        <f>AL45+AJ45+AI45+AH45+AG45+AF45+AE45+AD45++AC45+AB45+AA45+Z45+Y45+X45</f>
        <v>1600</v>
      </c>
      <c r="AN45" s="83">
        <f>AM45+T45</f>
        <v>1600</v>
      </c>
      <c r="AO45" s="49">
        <f t="shared" si="15"/>
        <v>30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/>
      <c r="AW45" s="10">
        <v>0</v>
      </c>
      <c r="AX45" s="10">
        <v>0</v>
      </c>
      <c r="AY45" s="10">
        <v>0</v>
      </c>
      <c r="AZ45" s="10">
        <v>0</v>
      </c>
      <c r="BA45" s="16"/>
      <c r="BB45" s="16"/>
      <c r="BC45" s="16"/>
      <c r="BD45" s="16"/>
      <c r="BE45" s="16"/>
      <c r="BF45" s="16"/>
      <c r="BG45" s="21"/>
    </row>
    <row r="46" spans="1:59" s="35" customFormat="1" x14ac:dyDescent="0.25">
      <c r="A46" s="47">
        <v>45</v>
      </c>
      <c r="B46" s="290">
        <v>45800</v>
      </c>
      <c r="C46" s="291" t="s">
        <v>247</v>
      </c>
      <c r="D46" s="291" t="s">
        <v>79</v>
      </c>
      <c r="E46" s="291" t="s">
        <v>3</v>
      </c>
      <c r="F46" s="291" t="s">
        <v>17</v>
      </c>
      <c r="G46" s="291" t="s">
        <v>171</v>
      </c>
      <c r="H46" s="291">
        <v>652</v>
      </c>
      <c r="I46" s="291"/>
      <c r="J46" s="39"/>
      <c r="K46" s="40">
        <v>0</v>
      </c>
      <c r="L46" s="40"/>
      <c r="M46" s="40"/>
      <c r="N46" s="40"/>
      <c r="O46" s="40"/>
      <c r="P46" s="40"/>
      <c r="Q46" s="40"/>
      <c r="R46" s="12">
        <f t="shared" si="0"/>
        <v>0</v>
      </c>
      <c r="S46" s="41">
        <f t="shared" si="12"/>
        <v>0</v>
      </c>
      <c r="T46" s="41">
        <f t="shared" si="8"/>
        <v>0</v>
      </c>
      <c r="U46" s="49">
        <v>1</v>
      </c>
      <c r="V46" s="39">
        <v>3150</v>
      </c>
      <c r="W46" s="39"/>
      <c r="X46" s="39"/>
      <c r="Y46" s="39"/>
      <c r="Z46" s="39"/>
      <c r="AA46" s="39"/>
      <c r="AB46" s="39"/>
      <c r="AC46" s="39"/>
      <c r="AD46" s="39"/>
      <c r="AE46" s="49"/>
      <c r="AF46" s="39"/>
      <c r="AG46" s="45">
        <f t="shared" si="13"/>
        <v>0</v>
      </c>
      <c r="AH46" s="39"/>
      <c r="AI46" s="39"/>
      <c r="AJ46" s="39"/>
      <c r="AK46" s="73">
        <f t="shared" si="9"/>
        <v>3150</v>
      </c>
      <c r="AL46" s="89">
        <f t="shared" si="14"/>
        <v>3150</v>
      </c>
      <c r="AM46" s="41">
        <f>AL46+AJ46+AI46+AH46+AG46+AF46+AE46+AD46++AC46+AB46+AA46+Z46+Y46+X46</f>
        <v>3150</v>
      </c>
      <c r="AN46" s="83">
        <f>AM46+T46</f>
        <v>3150</v>
      </c>
      <c r="AO46" s="49">
        <f t="shared" si="15"/>
        <v>1</v>
      </c>
      <c r="AQ46" s="10">
        <f>AN45*10%</f>
        <v>160</v>
      </c>
      <c r="AR46" s="10">
        <v>0</v>
      </c>
      <c r="AS46" s="16">
        <v>0</v>
      </c>
      <c r="AT46" s="16">
        <v>0</v>
      </c>
      <c r="AU46" s="16">
        <v>0</v>
      </c>
      <c r="AV46" s="16"/>
      <c r="AW46" s="16">
        <v>0</v>
      </c>
      <c r="AX46" s="16">
        <v>0</v>
      </c>
      <c r="AY46" s="16">
        <v>0</v>
      </c>
      <c r="AZ46" s="128"/>
      <c r="BA46" s="16"/>
      <c r="BB46" s="16"/>
      <c r="BC46" s="16"/>
      <c r="BD46" s="16"/>
      <c r="BE46" s="10"/>
      <c r="BF46" s="10"/>
      <c r="BG46" s="21"/>
    </row>
    <row r="47" spans="1:59" s="35" customFormat="1" x14ac:dyDescent="0.25">
      <c r="A47" s="47">
        <v>46</v>
      </c>
      <c r="B47" s="290">
        <v>45800</v>
      </c>
      <c r="C47" s="291" t="s">
        <v>248</v>
      </c>
      <c r="D47" s="291" t="s">
        <v>221</v>
      </c>
      <c r="E47" s="291" t="s">
        <v>11</v>
      </c>
      <c r="F47" s="291" t="s">
        <v>192</v>
      </c>
      <c r="G47" s="291" t="s">
        <v>171</v>
      </c>
      <c r="H47" s="291">
        <v>654</v>
      </c>
      <c r="I47" s="291" t="s">
        <v>249</v>
      </c>
      <c r="J47" s="39"/>
      <c r="K47" s="40"/>
      <c r="L47" s="40"/>
      <c r="M47" s="40"/>
      <c r="N47" s="40"/>
      <c r="O47" s="40"/>
      <c r="P47" s="40"/>
      <c r="Q47" s="40"/>
      <c r="R47" s="12">
        <f t="shared" si="0"/>
        <v>0</v>
      </c>
      <c r="S47" s="41">
        <f t="shared" si="12"/>
        <v>0</v>
      </c>
      <c r="T47" s="41">
        <f t="shared" si="8"/>
        <v>0</v>
      </c>
      <c r="U47" s="49">
        <v>65</v>
      </c>
      <c r="V47" s="39">
        <v>45</v>
      </c>
      <c r="W47" s="39"/>
      <c r="X47" s="39">
        <v>250</v>
      </c>
      <c r="Y47" s="39"/>
      <c r="Z47" s="39"/>
      <c r="AA47" s="39"/>
      <c r="AB47" s="39"/>
      <c r="AC47" s="39"/>
      <c r="AD47" s="39"/>
      <c r="AE47" s="49"/>
      <c r="AF47" s="40"/>
      <c r="AG47" s="45">
        <f t="shared" si="13"/>
        <v>0</v>
      </c>
      <c r="AH47" s="40"/>
      <c r="AI47" s="40"/>
      <c r="AJ47" s="40"/>
      <c r="AK47" s="73">
        <f t="shared" si="9"/>
        <v>45</v>
      </c>
      <c r="AL47" s="88">
        <f t="shared" si="14"/>
        <v>2925</v>
      </c>
      <c r="AM47" s="41">
        <f>AL47+AJ47+AI47+AH47+AG47+AF47+AE47+AD47++AC47+AB47+AA47+Z47+Y47+X47</f>
        <v>3175</v>
      </c>
      <c r="AN47" s="41">
        <f>AM47+T47</f>
        <v>3175</v>
      </c>
      <c r="AO47" s="49">
        <f t="shared" si="15"/>
        <v>65</v>
      </c>
      <c r="AQ47" s="10">
        <v>0</v>
      </c>
      <c r="AR47" s="10">
        <v>0</v>
      </c>
      <c r="AS47" s="16">
        <v>0</v>
      </c>
      <c r="AT47" s="16">
        <v>0</v>
      </c>
      <c r="AU47" s="16">
        <v>0</v>
      </c>
      <c r="AV47" s="16"/>
      <c r="AW47" s="16">
        <v>0</v>
      </c>
      <c r="AX47" s="16">
        <v>0</v>
      </c>
      <c r="AY47" s="16">
        <v>0</v>
      </c>
      <c r="AZ47" s="128"/>
      <c r="BA47" s="16"/>
      <c r="BB47" s="16"/>
      <c r="BC47" s="16"/>
      <c r="BD47" s="16"/>
      <c r="BE47" s="16"/>
      <c r="BF47" s="16"/>
      <c r="BG47" s="21"/>
    </row>
    <row r="48" spans="1:59" s="35" customFormat="1" x14ac:dyDescent="0.25">
      <c r="A48" s="47">
        <v>47</v>
      </c>
      <c r="B48" s="290">
        <v>45806</v>
      </c>
      <c r="C48" s="291" t="s">
        <v>253</v>
      </c>
      <c r="D48" s="291" t="s">
        <v>96</v>
      </c>
      <c r="E48" s="291" t="s">
        <v>3</v>
      </c>
      <c r="F48" s="291" t="s">
        <v>9</v>
      </c>
      <c r="G48" s="291" t="s">
        <v>171</v>
      </c>
      <c r="H48" s="291">
        <v>617</v>
      </c>
      <c r="I48" s="291" t="s">
        <v>254</v>
      </c>
      <c r="J48" s="36"/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/>
      <c r="R48" s="12">
        <f t="shared" si="0"/>
        <v>0</v>
      </c>
      <c r="S48" s="41">
        <f t="shared" si="12"/>
        <v>0</v>
      </c>
      <c r="T48" s="32">
        <f t="shared" si="8"/>
        <v>0</v>
      </c>
      <c r="U48" s="33">
        <v>2300</v>
      </c>
      <c r="V48" s="91">
        <v>119.347826</v>
      </c>
      <c r="W48" s="91">
        <v>0</v>
      </c>
      <c r="X48" s="91">
        <v>0</v>
      </c>
      <c r="Y48" s="91">
        <v>0</v>
      </c>
      <c r="Z48" s="91">
        <v>0</v>
      </c>
      <c r="AA48" s="91">
        <v>0</v>
      </c>
      <c r="AB48" s="91">
        <v>0</v>
      </c>
      <c r="AC48" s="91">
        <v>0</v>
      </c>
      <c r="AD48" s="37"/>
      <c r="AE48" s="33">
        <v>680</v>
      </c>
      <c r="AF48" s="37">
        <v>117.76</v>
      </c>
      <c r="AG48" s="34">
        <f t="shared" si="13"/>
        <v>80076.800000000003</v>
      </c>
      <c r="AH48" s="37"/>
      <c r="AI48" s="37"/>
      <c r="AJ48" s="37"/>
      <c r="AK48" s="73">
        <f t="shared" si="9"/>
        <v>119.347826</v>
      </c>
      <c r="AL48" s="32">
        <f t="shared" si="14"/>
        <v>274499.99979999999</v>
      </c>
      <c r="AM48" s="32">
        <f>AL48+AJ48+AI48+AH48+AG48+AD48++AC48+AB48+AA48+Z48+Y48+X48</f>
        <v>354576.79979999998</v>
      </c>
      <c r="AN48" s="32">
        <f>AM48+T48</f>
        <v>354576.79979999998</v>
      </c>
      <c r="AO48" s="33">
        <f t="shared" si="15"/>
        <v>2980</v>
      </c>
      <c r="AQ48" s="10">
        <v>0</v>
      </c>
      <c r="AR48" s="10">
        <v>0</v>
      </c>
      <c r="AS48" s="16">
        <v>0</v>
      </c>
      <c r="AT48" s="16">
        <f>AN48*10%</f>
        <v>35457.679980000001</v>
      </c>
      <c r="AU48" s="16">
        <v>0</v>
      </c>
      <c r="AV48" s="16"/>
      <c r="AW48" s="16">
        <v>0</v>
      </c>
      <c r="AX48" s="16">
        <v>0</v>
      </c>
      <c r="AY48" s="16">
        <v>0</v>
      </c>
      <c r="AZ48" s="128"/>
      <c r="BA48" s="16"/>
      <c r="BB48" s="16"/>
      <c r="BC48" s="16"/>
      <c r="BD48" s="16"/>
      <c r="BE48" s="10"/>
      <c r="BF48" s="10"/>
      <c r="BG48" s="21"/>
    </row>
    <row r="49" spans="1:59" s="108" customFormat="1" x14ac:dyDescent="0.25">
      <c r="A49" s="47">
        <v>48</v>
      </c>
      <c r="B49" s="290">
        <v>45806</v>
      </c>
      <c r="C49" s="291" t="s">
        <v>250</v>
      </c>
      <c r="D49" s="291" t="s">
        <v>251</v>
      </c>
      <c r="E49" s="291" t="s">
        <v>3</v>
      </c>
      <c r="F49" s="291" t="s">
        <v>252</v>
      </c>
      <c r="G49" s="291" t="s">
        <v>171</v>
      </c>
      <c r="H49" s="291">
        <v>657</v>
      </c>
      <c r="I49" s="291"/>
      <c r="J49" s="39"/>
      <c r="K49" s="40"/>
      <c r="L49" s="40"/>
      <c r="M49" s="40"/>
      <c r="N49" s="40"/>
      <c r="O49" s="40"/>
      <c r="P49" s="40"/>
      <c r="Q49" s="40"/>
      <c r="R49" s="12">
        <f t="shared" si="0"/>
        <v>0</v>
      </c>
      <c r="S49" s="41">
        <f t="shared" si="12"/>
        <v>0</v>
      </c>
      <c r="T49" s="41">
        <f t="shared" si="8"/>
        <v>0</v>
      </c>
      <c r="U49" s="49">
        <v>1</v>
      </c>
      <c r="V49" s="39">
        <v>10000</v>
      </c>
      <c r="W49" s="39"/>
      <c r="X49" s="39"/>
      <c r="Y49" s="39"/>
      <c r="Z49" s="39"/>
      <c r="AA49" s="39"/>
      <c r="AB49" s="39"/>
      <c r="AC49" s="39"/>
      <c r="AD49" s="39"/>
      <c r="AE49" s="49"/>
      <c r="AF49" s="40"/>
      <c r="AG49" s="45">
        <f t="shared" si="13"/>
        <v>0</v>
      </c>
      <c r="AH49" s="40"/>
      <c r="AI49" s="40"/>
      <c r="AJ49" s="40"/>
      <c r="AK49" s="73">
        <f t="shared" si="9"/>
        <v>10000</v>
      </c>
      <c r="AL49" s="88">
        <f t="shared" si="14"/>
        <v>10000</v>
      </c>
      <c r="AM49" s="41"/>
      <c r="AN49" s="41"/>
      <c r="AO49" s="49">
        <f t="shared" si="15"/>
        <v>1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/>
      <c r="AW49" s="10">
        <v>0</v>
      </c>
      <c r="AX49" s="10">
        <v>0</v>
      </c>
      <c r="AY49" s="10">
        <v>0</v>
      </c>
      <c r="AZ49" s="10">
        <v>0</v>
      </c>
      <c r="BA49" s="16"/>
      <c r="BB49" s="16"/>
      <c r="BC49" s="16"/>
      <c r="BD49" s="16"/>
      <c r="BE49" s="16"/>
      <c r="BF49" s="16"/>
      <c r="BG49" s="21"/>
    </row>
    <row r="50" spans="1:59" s="35" customFormat="1" ht="14.25" customHeight="1" x14ac:dyDescent="0.25">
      <c r="A50" s="47">
        <v>49</v>
      </c>
      <c r="B50" s="286">
        <v>45814</v>
      </c>
      <c r="C50" s="287" t="s">
        <v>255</v>
      </c>
      <c r="D50" s="287" t="s">
        <v>156</v>
      </c>
      <c r="E50" s="287" t="s">
        <v>74</v>
      </c>
      <c r="F50" s="287" t="s">
        <v>192</v>
      </c>
      <c r="G50" s="287" t="s">
        <v>171</v>
      </c>
      <c r="H50" s="287">
        <v>642</v>
      </c>
      <c r="I50" s="287" t="s">
        <v>222</v>
      </c>
      <c r="J50" s="39"/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/>
      <c r="R50" s="12">
        <f t="shared" si="0"/>
        <v>0</v>
      </c>
      <c r="S50" s="41">
        <f t="shared" si="12"/>
        <v>0</v>
      </c>
      <c r="T50" s="41">
        <f t="shared" si="8"/>
        <v>0</v>
      </c>
      <c r="U50" s="49">
        <v>80</v>
      </c>
      <c r="V50" s="39">
        <v>35</v>
      </c>
      <c r="W50" s="39"/>
      <c r="X50" s="39">
        <f>1000+320</f>
        <v>1320</v>
      </c>
      <c r="Y50" s="39">
        <v>0</v>
      </c>
      <c r="Z50" s="39"/>
      <c r="AA50" s="39"/>
      <c r="AB50" s="39"/>
      <c r="AC50" s="39">
        <v>0</v>
      </c>
      <c r="AD50" s="39"/>
      <c r="AE50" s="49"/>
      <c r="AF50" s="40"/>
      <c r="AG50" s="34">
        <f t="shared" si="13"/>
        <v>0</v>
      </c>
      <c r="AH50" s="40"/>
      <c r="AI50" s="40"/>
      <c r="AJ50" s="40">
        <f>4800-4120</f>
        <v>680</v>
      </c>
      <c r="AK50" s="73">
        <f t="shared" si="9"/>
        <v>35</v>
      </c>
      <c r="AL50" s="88">
        <f t="shared" si="14"/>
        <v>2800</v>
      </c>
      <c r="AM50" s="41">
        <f t="shared" ref="AM50:AM55" si="16">AL50+AJ50+AI50+AH50+AG50+AF50+AE50+AD50++AC50+AB50+AA50+Z50+Y50+X50</f>
        <v>4800</v>
      </c>
      <c r="AN50" s="41">
        <f t="shared" ref="AN50:AN76" si="17">AM50+T50</f>
        <v>4800</v>
      </c>
      <c r="AO50" s="49">
        <f t="shared" si="15"/>
        <v>80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29"/>
      <c r="AW50" s="10">
        <v>0</v>
      </c>
      <c r="AX50" s="10">
        <v>0</v>
      </c>
      <c r="AY50" s="10">
        <v>0</v>
      </c>
      <c r="AZ50" s="10">
        <v>0</v>
      </c>
      <c r="BA50" s="16"/>
      <c r="BB50" s="16"/>
      <c r="BC50" s="16"/>
      <c r="BD50" s="16"/>
      <c r="BE50" s="10"/>
      <c r="BF50" s="10"/>
      <c r="BG50" s="21"/>
    </row>
    <row r="51" spans="1:59" s="35" customFormat="1" x14ac:dyDescent="0.25">
      <c r="A51" s="47">
        <v>50</v>
      </c>
      <c r="B51" s="286">
        <v>45815</v>
      </c>
      <c r="C51" s="287" t="s">
        <v>256</v>
      </c>
      <c r="D51" s="287" t="s">
        <v>257</v>
      </c>
      <c r="E51" s="287" t="s">
        <v>3</v>
      </c>
      <c r="F51" s="287" t="s">
        <v>257</v>
      </c>
      <c r="G51" s="287" t="s">
        <v>171</v>
      </c>
      <c r="H51" s="287">
        <v>659</v>
      </c>
      <c r="I51" s="287" t="s">
        <v>258</v>
      </c>
      <c r="J51" s="36"/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/>
      <c r="R51" s="12">
        <f t="shared" si="0"/>
        <v>0</v>
      </c>
      <c r="S51" s="41">
        <f t="shared" si="12"/>
        <v>0</v>
      </c>
      <c r="T51" s="41">
        <f t="shared" si="8"/>
        <v>0</v>
      </c>
      <c r="U51" s="33">
        <v>80</v>
      </c>
      <c r="V51" s="36">
        <v>69.099999999999994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  <c r="AD51" s="36">
        <v>0</v>
      </c>
      <c r="AE51" s="33"/>
      <c r="AF51" s="37"/>
      <c r="AG51" s="34">
        <f t="shared" si="13"/>
        <v>0</v>
      </c>
      <c r="AH51" s="37"/>
      <c r="AI51" s="37"/>
      <c r="AJ51" s="37"/>
      <c r="AK51" s="73">
        <f t="shared" si="9"/>
        <v>69.099999999999994</v>
      </c>
      <c r="AL51" s="38">
        <f t="shared" si="14"/>
        <v>5528</v>
      </c>
      <c r="AM51" s="32">
        <f t="shared" si="16"/>
        <v>5528</v>
      </c>
      <c r="AN51" s="32">
        <f t="shared" si="17"/>
        <v>5528</v>
      </c>
      <c r="AO51" s="33">
        <f t="shared" si="15"/>
        <v>80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/>
      <c r="AW51" s="10">
        <v>0</v>
      </c>
      <c r="AX51" s="10">
        <v>0</v>
      </c>
      <c r="AY51" s="10">
        <v>0</v>
      </c>
      <c r="AZ51" s="10">
        <v>0</v>
      </c>
      <c r="BA51" s="16"/>
      <c r="BB51" s="16"/>
      <c r="BC51" s="16"/>
      <c r="BD51" s="16"/>
      <c r="BE51" s="16"/>
      <c r="BF51" s="16"/>
      <c r="BG51" s="21"/>
    </row>
    <row r="52" spans="1:59" s="35" customFormat="1" x14ac:dyDescent="0.25">
      <c r="A52" s="47">
        <v>51</v>
      </c>
      <c r="B52" s="286">
        <v>45815</v>
      </c>
      <c r="C52" s="287" t="s">
        <v>259</v>
      </c>
      <c r="D52" s="287" t="s">
        <v>15</v>
      </c>
      <c r="E52" s="287" t="s">
        <v>74</v>
      </c>
      <c r="F52" s="287" t="s">
        <v>192</v>
      </c>
      <c r="G52" s="287" t="s">
        <v>171</v>
      </c>
      <c r="H52" s="287">
        <v>661</v>
      </c>
      <c r="I52" s="287" t="s">
        <v>260</v>
      </c>
      <c r="J52" s="39"/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/>
      <c r="R52" s="12">
        <f t="shared" si="0"/>
        <v>0</v>
      </c>
      <c r="S52" s="41">
        <f t="shared" si="12"/>
        <v>0</v>
      </c>
      <c r="T52" s="41">
        <f t="shared" si="8"/>
        <v>0</v>
      </c>
      <c r="U52" s="49">
        <v>120</v>
      </c>
      <c r="V52" s="39">
        <v>76</v>
      </c>
      <c r="W52" s="39">
        <v>0</v>
      </c>
      <c r="X52" s="39">
        <f>2550+500</f>
        <v>3050</v>
      </c>
      <c r="Y52" s="39"/>
      <c r="Z52" s="39"/>
      <c r="AA52" s="39"/>
      <c r="AB52" s="39"/>
      <c r="AC52" s="39"/>
      <c r="AD52" s="39"/>
      <c r="AE52" s="49"/>
      <c r="AF52" s="40"/>
      <c r="AG52" s="34">
        <f t="shared" si="13"/>
        <v>0</v>
      </c>
      <c r="AH52" s="40"/>
      <c r="AI52" s="40"/>
      <c r="AJ52" s="40">
        <f>13752.1-12170</f>
        <v>1582.1000000000004</v>
      </c>
      <c r="AK52" s="73">
        <f t="shared" si="9"/>
        <v>76</v>
      </c>
      <c r="AL52" s="88">
        <f t="shared" si="14"/>
        <v>9120</v>
      </c>
      <c r="AM52" s="41">
        <f t="shared" si="16"/>
        <v>13752.1</v>
      </c>
      <c r="AN52" s="41">
        <f t="shared" si="17"/>
        <v>13752.1</v>
      </c>
      <c r="AO52" s="49">
        <f t="shared" si="15"/>
        <v>120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/>
      <c r="AW52" s="10">
        <v>0</v>
      </c>
      <c r="AX52" s="10">
        <v>0</v>
      </c>
      <c r="AY52" s="10">
        <v>0</v>
      </c>
      <c r="AZ52" s="10">
        <v>0</v>
      </c>
      <c r="BA52" s="16"/>
      <c r="BB52" s="16"/>
      <c r="BC52" s="16"/>
      <c r="BD52" s="16"/>
      <c r="BE52" s="10"/>
      <c r="BF52" s="10"/>
      <c r="BG52" s="21"/>
    </row>
    <row r="53" spans="1:59" s="35" customFormat="1" x14ac:dyDescent="0.25">
      <c r="A53" s="47">
        <v>52</v>
      </c>
      <c r="B53" s="286">
        <v>45819</v>
      </c>
      <c r="C53" s="287" t="s">
        <v>261</v>
      </c>
      <c r="D53" s="287" t="s">
        <v>244</v>
      </c>
      <c r="E53" s="287" t="s">
        <v>74</v>
      </c>
      <c r="F53" s="287" t="s">
        <v>217</v>
      </c>
      <c r="G53" s="287" t="s">
        <v>171</v>
      </c>
      <c r="H53" s="287">
        <v>666</v>
      </c>
      <c r="I53" s="287" t="s">
        <v>262</v>
      </c>
      <c r="J53" s="36"/>
      <c r="K53" s="37">
        <v>15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/>
      <c r="R53" s="12">
        <f t="shared" si="0"/>
        <v>15</v>
      </c>
      <c r="S53" s="41">
        <f t="shared" si="12"/>
        <v>225</v>
      </c>
      <c r="T53" s="32">
        <f t="shared" si="8"/>
        <v>225</v>
      </c>
      <c r="U53" s="33">
        <v>15</v>
      </c>
      <c r="V53" s="36">
        <v>140</v>
      </c>
      <c r="W53" s="36">
        <v>0</v>
      </c>
      <c r="X53" s="36">
        <v>1300</v>
      </c>
      <c r="Y53" s="36"/>
      <c r="Z53" s="36"/>
      <c r="AA53" s="36"/>
      <c r="AB53" s="36"/>
      <c r="AC53" s="36"/>
      <c r="AD53" s="36">
        <v>672</v>
      </c>
      <c r="AE53" s="33"/>
      <c r="AF53" s="37"/>
      <c r="AG53" s="34">
        <f t="shared" si="13"/>
        <v>0</v>
      </c>
      <c r="AH53" s="37"/>
      <c r="AI53" s="37"/>
      <c r="AJ53" s="37">
        <v>373.65</v>
      </c>
      <c r="AK53" s="73">
        <f t="shared" si="9"/>
        <v>140</v>
      </c>
      <c r="AL53" s="38">
        <f t="shared" si="14"/>
        <v>2100</v>
      </c>
      <c r="AM53" s="32">
        <f t="shared" si="16"/>
        <v>4445.6499999999996</v>
      </c>
      <c r="AN53" s="32">
        <f t="shared" si="17"/>
        <v>4670.6499999999996</v>
      </c>
      <c r="AO53" s="33">
        <f t="shared" si="15"/>
        <v>15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/>
      <c r="AW53" s="10">
        <v>0</v>
      </c>
      <c r="AX53" s="10">
        <v>0</v>
      </c>
      <c r="AY53" s="10">
        <v>0</v>
      </c>
      <c r="AZ53" s="10">
        <v>0</v>
      </c>
      <c r="BA53" s="16"/>
      <c r="BB53" s="16"/>
      <c r="BC53" s="16"/>
      <c r="BD53" s="16"/>
      <c r="BE53" s="16"/>
      <c r="BF53" s="16"/>
      <c r="BG53" s="21"/>
    </row>
    <row r="54" spans="1:59" s="35" customFormat="1" x14ac:dyDescent="0.25">
      <c r="A54" s="261">
        <v>53</v>
      </c>
      <c r="B54" s="292">
        <v>45819</v>
      </c>
      <c r="C54" s="293" t="s">
        <v>263</v>
      </c>
      <c r="D54" s="293" t="s">
        <v>244</v>
      </c>
      <c r="E54" s="293" t="s">
        <v>74</v>
      </c>
      <c r="F54" s="293" t="s">
        <v>217</v>
      </c>
      <c r="G54" s="293" t="s">
        <v>171</v>
      </c>
      <c r="H54" s="293">
        <v>667</v>
      </c>
      <c r="I54" s="293" t="s">
        <v>244</v>
      </c>
      <c r="J54" s="301"/>
      <c r="K54" s="302">
        <v>0</v>
      </c>
      <c r="L54" s="302">
        <v>0</v>
      </c>
      <c r="M54" s="302">
        <v>0</v>
      </c>
      <c r="N54" s="302">
        <v>0</v>
      </c>
      <c r="O54" s="302">
        <v>0</v>
      </c>
      <c r="P54" s="302">
        <f>98*10</f>
        <v>980</v>
      </c>
      <c r="Q54" s="302"/>
      <c r="R54" s="257">
        <f t="shared" si="0"/>
        <v>0</v>
      </c>
      <c r="S54" s="53">
        <f t="shared" si="12"/>
        <v>0</v>
      </c>
      <c r="T54" s="53">
        <f t="shared" si="8"/>
        <v>980</v>
      </c>
      <c r="U54" s="303">
        <v>10</v>
      </c>
      <c r="V54" s="301">
        <v>189</v>
      </c>
      <c r="W54" s="301">
        <v>0</v>
      </c>
      <c r="X54" s="301">
        <v>1000</v>
      </c>
      <c r="Y54" s="304">
        <v>0</v>
      </c>
      <c r="Z54" s="304">
        <v>0</v>
      </c>
      <c r="AA54" s="304">
        <v>0</v>
      </c>
      <c r="AB54" s="304">
        <v>0</v>
      </c>
      <c r="AC54" s="227"/>
      <c r="AD54" s="227">
        <v>790</v>
      </c>
      <c r="AE54" s="54"/>
      <c r="AF54" s="230"/>
      <c r="AG54" s="305">
        <f t="shared" si="13"/>
        <v>0</v>
      </c>
      <c r="AH54" s="230"/>
      <c r="AI54" s="230"/>
      <c r="AJ54" s="230">
        <f>4495.85-3870</f>
        <v>625.85000000000036</v>
      </c>
      <c r="AK54" s="306">
        <f t="shared" si="9"/>
        <v>189</v>
      </c>
      <c r="AL54" s="307">
        <f t="shared" si="14"/>
        <v>1890</v>
      </c>
      <c r="AM54" s="308">
        <f t="shared" si="16"/>
        <v>4305.8500000000004</v>
      </c>
      <c r="AN54" s="53">
        <f t="shared" si="17"/>
        <v>5285.85</v>
      </c>
      <c r="AO54" s="303">
        <f t="shared" si="15"/>
        <v>10</v>
      </c>
      <c r="AQ54" s="263">
        <v>0</v>
      </c>
      <c r="AR54" s="263">
        <v>0</v>
      </c>
      <c r="AS54" s="263">
        <v>0</v>
      </c>
      <c r="AT54" s="263">
        <v>0</v>
      </c>
      <c r="AU54" s="263">
        <v>0</v>
      </c>
      <c r="AV54" s="263"/>
      <c r="AW54" s="263">
        <v>0</v>
      </c>
      <c r="AX54" s="263">
        <v>0</v>
      </c>
      <c r="AY54" s="263">
        <v>0</v>
      </c>
      <c r="AZ54" s="263">
        <v>0</v>
      </c>
      <c r="BA54" s="264"/>
      <c r="BB54" s="264"/>
      <c r="BC54" s="264"/>
      <c r="BD54" s="264"/>
      <c r="BE54" s="263"/>
      <c r="BF54" s="263"/>
      <c r="BG54" s="309"/>
    </row>
    <row r="55" spans="1:59" s="35" customFormat="1" x14ac:dyDescent="0.25">
      <c r="A55" s="47">
        <v>54</v>
      </c>
      <c r="B55" s="286">
        <v>45822</v>
      </c>
      <c r="C55" s="287" t="s">
        <v>264</v>
      </c>
      <c r="D55" s="287" t="s">
        <v>265</v>
      </c>
      <c r="E55" s="287" t="s">
        <v>74</v>
      </c>
      <c r="F55" s="287" t="s">
        <v>192</v>
      </c>
      <c r="G55" s="287" t="s">
        <v>171</v>
      </c>
      <c r="H55" s="287">
        <v>658</v>
      </c>
      <c r="I55" s="287"/>
      <c r="J55" s="31">
        <v>0</v>
      </c>
      <c r="K55" s="316">
        <v>0</v>
      </c>
      <c r="L55" s="316">
        <v>0</v>
      </c>
      <c r="M55" s="316">
        <v>0</v>
      </c>
      <c r="N55" s="316">
        <v>0</v>
      </c>
      <c r="O55" s="316">
        <v>0</v>
      </c>
      <c r="P55" s="316">
        <v>0</v>
      </c>
      <c r="Q55" s="316"/>
      <c r="R55" s="12">
        <f t="shared" si="0"/>
        <v>0</v>
      </c>
      <c r="S55" s="41">
        <f t="shared" si="12"/>
        <v>0</v>
      </c>
      <c r="T55" s="41">
        <f t="shared" si="8"/>
        <v>0</v>
      </c>
      <c r="U55" s="33">
        <v>20</v>
      </c>
      <c r="V55" s="31">
        <v>45</v>
      </c>
      <c r="W55" s="31">
        <v>0</v>
      </c>
      <c r="X55" s="31">
        <v>700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3"/>
      <c r="AF55" s="316">
        <v>0</v>
      </c>
      <c r="AG55" s="34">
        <f t="shared" si="13"/>
        <v>0</v>
      </c>
      <c r="AH55" s="316">
        <v>0</v>
      </c>
      <c r="AI55" s="316">
        <v>0</v>
      </c>
      <c r="AJ55" s="316">
        <f>170</f>
        <v>170</v>
      </c>
      <c r="AK55" s="317">
        <f t="shared" si="9"/>
        <v>45</v>
      </c>
      <c r="AL55" s="32">
        <f t="shared" si="14"/>
        <v>900</v>
      </c>
      <c r="AM55" s="32">
        <f t="shared" si="16"/>
        <v>1770</v>
      </c>
      <c r="AN55" s="32">
        <f t="shared" si="17"/>
        <v>1770</v>
      </c>
      <c r="AO55" s="33">
        <f t="shared" si="15"/>
        <v>20</v>
      </c>
      <c r="AP55" s="47"/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/>
      <c r="AW55" s="10">
        <v>0</v>
      </c>
      <c r="AX55" s="10">
        <v>0</v>
      </c>
      <c r="AY55" s="10">
        <v>0</v>
      </c>
      <c r="AZ55" s="10">
        <v>0</v>
      </c>
      <c r="BA55" s="16"/>
      <c r="BB55" s="16"/>
      <c r="BC55" s="16"/>
      <c r="BD55" s="16"/>
      <c r="BE55" s="16"/>
      <c r="BF55" s="16"/>
      <c r="BG55" s="235"/>
    </row>
    <row r="56" spans="1:59" s="35" customFormat="1" x14ac:dyDescent="0.25">
      <c r="A56" s="47">
        <v>55</v>
      </c>
      <c r="B56" s="286">
        <v>45825</v>
      </c>
      <c r="C56" s="287" t="s">
        <v>266</v>
      </c>
      <c r="D56" s="287" t="s">
        <v>185</v>
      </c>
      <c r="E56" s="287" t="s">
        <v>74</v>
      </c>
      <c r="F56" s="287" t="s">
        <v>217</v>
      </c>
      <c r="G56" s="287" t="s">
        <v>171</v>
      </c>
      <c r="H56" s="287">
        <v>668</v>
      </c>
      <c r="I56" s="287" t="s">
        <v>185</v>
      </c>
      <c r="J56" s="31"/>
      <c r="K56" s="316">
        <f>15*2</f>
        <v>30</v>
      </c>
      <c r="L56" s="316">
        <v>0</v>
      </c>
      <c r="M56" s="316">
        <v>0</v>
      </c>
      <c r="N56" s="316">
        <v>0</v>
      </c>
      <c r="O56" s="316">
        <v>0</v>
      </c>
      <c r="P56" s="316">
        <f>1920</f>
        <v>1920</v>
      </c>
      <c r="Q56" s="316"/>
      <c r="R56" s="12">
        <f t="shared" si="0"/>
        <v>30</v>
      </c>
      <c r="S56" s="41">
        <f t="shared" si="12"/>
        <v>2280</v>
      </c>
      <c r="T56" s="32">
        <f t="shared" si="8"/>
        <v>4200</v>
      </c>
      <c r="U56" s="33">
        <v>76</v>
      </c>
      <c r="V56" s="31">
        <v>140</v>
      </c>
      <c r="W56" s="31">
        <v>0</v>
      </c>
      <c r="X56" s="31">
        <f>2000</f>
        <v>2000</v>
      </c>
      <c r="Y56" s="318">
        <v>0</v>
      </c>
      <c r="Z56" s="318">
        <v>0</v>
      </c>
      <c r="AA56" s="318">
        <v>0</v>
      </c>
      <c r="AB56" s="318">
        <v>0</v>
      </c>
      <c r="AC56" s="31">
        <v>0</v>
      </c>
      <c r="AD56" s="31">
        <v>0</v>
      </c>
      <c r="AE56" s="33"/>
      <c r="AF56" s="316"/>
      <c r="AG56" s="34">
        <f t="shared" si="13"/>
        <v>0</v>
      </c>
      <c r="AH56" s="316"/>
      <c r="AI56" s="316"/>
      <c r="AJ56" s="316">
        <v>551.29999999999995</v>
      </c>
      <c r="AK56" s="317">
        <f t="shared" si="9"/>
        <v>140</v>
      </c>
      <c r="AL56" s="32">
        <f t="shared" si="14"/>
        <v>10640</v>
      </c>
      <c r="AM56" s="32">
        <f t="shared" ref="AM56:AM91" si="18">AL56+AJ56+AI56+AH56+AG56+AD56+AC56+AB56+AA56+Z56+Y56+X56</f>
        <v>13191.3</v>
      </c>
      <c r="AN56" s="32">
        <f t="shared" si="17"/>
        <v>17391.3</v>
      </c>
      <c r="AO56" s="33"/>
      <c r="AP56" s="47"/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/>
      <c r="AW56" s="10">
        <v>0</v>
      </c>
      <c r="AX56" s="10">
        <v>0</v>
      </c>
      <c r="AY56" s="10">
        <v>0</v>
      </c>
      <c r="AZ56" s="10">
        <v>0</v>
      </c>
      <c r="BA56" s="16"/>
      <c r="BB56" s="16"/>
      <c r="BC56" s="16"/>
      <c r="BD56" s="16"/>
      <c r="BE56" s="10"/>
      <c r="BF56" s="10"/>
      <c r="BG56" s="235"/>
    </row>
    <row r="57" spans="1:59" s="35" customFormat="1" x14ac:dyDescent="0.25">
      <c r="A57" s="47">
        <v>56</v>
      </c>
      <c r="B57" s="286">
        <v>45834</v>
      </c>
      <c r="C57" s="287" t="s">
        <v>190</v>
      </c>
      <c r="D57" s="287" t="s">
        <v>185</v>
      </c>
      <c r="E57" s="287" t="s">
        <v>74</v>
      </c>
      <c r="F57" s="287" t="s">
        <v>15</v>
      </c>
      <c r="G57" s="287" t="s">
        <v>171</v>
      </c>
      <c r="H57" s="287">
        <v>673</v>
      </c>
      <c r="I57" s="287" t="s">
        <v>185</v>
      </c>
      <c r="J57" s="31"/>
      <c r="K57" s="316">
        <v>0</v>
      </c>
      <c r="L57" s="316">
        <v>0</v>
      </c>
      <c r="M57" s="316">
        <v>0</v>
      </c>
      <c r="N57" s="316">
        <v>0</v>
      </c>
      <c r="O57" s="316">
        <v>0</v>
      </c>
      <c r="P57" s="316">
        <v>0</v>
      </c>
      <c r="Q57" s="316"/>
      <c r="R57" s="12">
        <f t="shared" si="0"/>
        <v>0</v>
      </c>
      <c r="S57" s="41">
        <f t="shared" si="12"/>
        <v>0</v>
      </c>
      <c r="T57" s="32">
        <f t="shared" si="8"/>
        <v>0</v>
      </c>
      <c r="U57" s="33">
        <v>490</v>
      </c>
      <c r="V57" s="31">
        <v>39</v>
      </c>
      <c r="W57" s="31">
        <v>0</v>
      </c>
      <c r="X57" s="31">
        <f>3600+1122</f>
        <v>4722</v>
      </c>
      <c r="Y57" s="318">
        <v>0</v>
      </c>
      <c r="Z57" s="318">
        <v>0</v>
      </c>
      <c r="AA57" s="318">
        <v>0</v>
      </c>
      <c r="AB57" s="318">
        <v>0</v>
      </c>
      <c r="AC57" s="31"/>
      <c r="AD57" s="31"/>
      <c r="AE57" s="33"/>
      <c r="AF57" s="316"/>
      <c r="AG57" s="34">
        <f t="shared" si="13"/>
        <v>0</v>
      </c>
      <c r="AH57" s="316"/>
      <c r="AI57" s="316"/>
      <c r="AJ57" s="316">
        <v>2975.61</v>
      </c>
      <c r="AK57" s="317">
        <f t="shared" si="9"/>
        <v>39</v>
      </c>
      <c r="AL57" s="32">
        <f t="shared" si="14"/>
        <v>19110</v>
      </c>
      <c r="AM57" s="32">
        <f t="shared" si="18"/>
        <v>26807.61</v>
      </c>
      <c r="AN57" s="32">
        <f t="shared" si="17"/>
        <v>26807.61</v>
      </c>
      <c r="AO57" s="33"/>
      <c r="AP57" s="47"/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/>
      <c r="AW57" s="10">
        <v>0</v>
      </c>
      <c r="AX57" s="10">
        <v>0</v>
      </c>
      <c r="AY57" s="10">
        <v>0</v>
      </c>
      <c r="AZ57" s="10">
        <v>0</v>
      </c>
      <c r="BA57" s="16"/>
      <c r="BB57" s="16"/>
      <c r="BC57" s="16"/>
      <c r="BD57" s="16"/>
      <c r="BE57" s="16"/>
      <c r="BF57" s="16"/>
      <c r="BG57" s="235"/>
    </row>
    <row r="58" spans="1:59" s="35" customFormat="1" x14ac:dyDescent="0.25">
      <c r="A58" s="47">
        <v>57</v>
      </c>
      <c r="B58" s="286">
        <v>45835</v>
      </c>
      <c r="C58" s="287" t="s">
        <v>268</v>
      </c>
      <c r="D58" s="287" t="s">
        <v>16</v>
      </c>
      <c r="E58" s="287" t="s">
        <v>3</v>
      </c>
      <c r="F58" s="287" t="s">
        <v>17</v>
      </c>
      <c r="G58" s="287" t="s">
        <v>171</v>
      </c>
      <c r="H58" s="287">
        <v>648</v>
      </c>
      <c r="I58" s="287"/>
      <c r="J58" s="31"/>
      <c r="K58" s="316">
        <v>0</v>
      </c>
      <c r="L58" s="316">
        <v>0</v>
      </c>
      <c r="M58" s="316">
        <v>0</v>
      </c>
      <c r="N58" s="316">
        <v>0</v>
      </c>
      <c r="O58" s="316">
        <v>0</v>
      </c>
      <c r="P58" s="316">
        <v>0</v>
      </c>
      <c r="Q58" s="316"/>
      <c r="R58" s="12">
        <f t="shared" si="0"/>
        <v>0</v>
      </c>
      <c r="S58" s="41">
        <f t="shared" si="12"/>
        <v>0</v>
      </c>
      <c r="T58" s="32">
        <f t="shared" si="8"/>
        <v>0</v>
      </c>
      <c r="U58" s="33">
        <v>60</v>
      </c>
      <c r="V58" s="31">
        <v>70</v>
      </c>
      <c r="W58" s="31"/>
      <c r="X58" s="31">
        <f>550+550</f>
        <v>1100</v>
      </c>
      <c r="Y58" s="31"/>
      <c r="Z58" s="31"/>
      <c r="AA58" s="31"/>
      <c r="AB58" s="31"/>
      <c r="AC58" s="31"/>
      <c r="AD58" s="31"/>
      <c r="AE58" s="33"/>
      <c r="AF58" s="316"/>
      <c r="AG58" s="34">
        <f t="shared" si="13"/>
        <v>0</v>
      </c>
      <c r="AH58" s="316"/>
      <c r="AI58" s="316"/>
      <c r="AJ58" s="316"/>
      <c r="AK58" s="317">
        <f t="shared" si="9"/>
        <v>70</v>
      </c>
      <c r="AL58" s="32">
        <f t="shared" si="14"/>
        <v>4200</v>
      </c>
      <c r="AM58" s="32">
        <f t="shared" si="18"/>
        <v>5300</v>
      </c>
      <c r="AN58" s="32">
        <f t="shared" si="17"/>
        <v>5300</v>
      </c>
      <c r="AO58" s="33"/>
      <c r="AP58" s="47"/>
      <c r="AQ58" s="10">
        <v>0</v>
      </c>
      <c r="AR58" s="10">
        <v>0</v>
      </c>
      <c r="AS58" s="16">
        <v>0</v>
      </c>
      <c r="AT58" s="16">
        <f>AN58*10%</f>
        <v>530</v>
      </c>
      <c r="AU58" s="16">
        <v>0</v>
      </c>
      <c r="AV58" s="16"/>
      <c r="AW58" s="16">
        <v>0</v>
      </c>
      <c r="AX58" s="16">
        <v>0</v>
      </c>
      <c r="AY58" s="16">
        <v>0</v>
      </c>
      <c r="AZ58" s="16">
        <v>0</v>
      </c>
      <c r="BA58" s="16"/>
      <c r="BB58" s="16"/>
      <c r="BC58" s="16"/>
      <c r="BD58" s="16"/>
      <c r="BE58" s="10"/>
      <c r="BF58" s="10"/>
      <c r="BG58" s="235"/>
    </row>
    <row r="59" spans="1:59" s="35" customFormat="1" x14ac:dyDescent="0.25">
      <c r="A59" s="47">
        <v>58</v>
      </c>
      <c r="B59" s="286">
        <v>45835</v>
      </c>
      <c r="C59" s="287" t="s">
        <v>267</v>
      </c>
      <c r="D59" s="287" t="s">
        <v>244</v>
      </c>
      <c r="E59" s="287" t="s">
        <v>74</v>
      </c>
      <c r="F59" s="287" t="s">
        <v>15</v>
      </c>
      <c r="G59" s="287" t="s">
        <v>171</v>
      </c>
      <c r="H59" s="287">
        <v>671</v>
      </c>
      <c r="I59" s="287" t="s">
        <v>185</v>
      </c>
      <c r="J59" s="31"/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920</v>
      </c>
      <c r="Q59" s="316"/>
      <c r="R59" s="12">
        <f t="shared" si="0"/>
        <v>0</v>
      </c>
      <c r="S59" s="32">
        <f t="shared" si="12"/>
        <v>0</v>
      </c>
      <c r="T59" s="32">
        <f t="shared" si="8"/>
        <v>920</v>
      </c>
      <c r="U59" s="33">
        <v>50</v>
      </c>
      <c r="V59" s="31">
        <v>48</v>
      </c>
      <c r="W59" s="31">
        <v>0</v>
      </c>
      <c r="X59" s="31">
        <v>1250</v>
      </c>
      <c r="Y59" s="31"/>
      <c r="Z59" s="31"/>
      <c r="AA59" s="31"/>
      <c r="AB59" s="31"/>
      <c r="AC59" s="31"/>
      <c r="AD59" s="31"/>
      <c r="AE59" s="33"/>
      <c r="AF59" s="316"/>
      <c r="AG59" s="34">
        <f t="shared" si="13"/>
        <v>0</v>
      </c>
      <c r="AH59" s="316"/>
      <c r="AI59" s="316"/>
      <c r="AJ59" s="316">
        <v>682.88</v>
      </c>
      <c r="AK59" s="317">
        <f t="shared" si="9"/>
        <v>48</v>
      </c>
      <c r="AL59" s="32">
        <f t="shared" si="14"/>
        <v>2400</v>
      </c>
      <c r="AM59" s="32">
        <f t="shared" si="18"/>
        <v>4332.88</v>
      </c>
      <c r="AN59" s="32">
        <f t="shared" si="17"/>
        <v>5252.88</v>
      </c>
      <c r="AO59" s="33"/>
      <c r="AP59" s="47"/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/>
      <c r="AW59" s="10">
        <v>0</v>
      </c>
      <c r="AX59" s="10">
        <v>0</v>
      </c>
      <c r="AY59" s="10">
        <v>0</v>
      </c>
      <c r="AZ59" s="10">
        <v>0</v>
      </c>
      <c r="BA59" s="16"/>
      <c r="BB59" s="16"/>
      <c r="BC59" s="16"/>
      <c r="BD59" s="16"/>
      <c r="BE59" s="16"/>
      <c r="BF59" s="16"/>
      <c r="BG59" s="235"/>
    </row>
    <row r="60" spans="1:59" s="35" customFormat="1" x14ac:dyDescent="0.25">
      <c r="A60" s="47">
        <v>59</v>
      </c>
      <c r="B60" s="286">
        <v>45836</v>
      </c>
      <c r="C60" s="296" t="s">
        <v>269</v>
      </c>
      <c r="D60" s="287" t="s">
        <v>125</v>
      </c>
      <c r="E60" s="287" t="s">
        <v>74</v>
      </c>
      <c r="F60" s="287" t="s">
        <v>17</v>
      </c>
      <c r="G60" s="287" t="s">
        <v>171</v>
      </c>
      <c r="H60" s="287">
        <v>669</v>
      </c>
      <c r="I60" s="287" t="s">
        <v>270</v>
      </c>
      <c r="J60" s="31"/>
      <c r="K60" s="316">
        <v>0</v>
      </c>
      <c r="L60" s="316">
        <v>0</v>
      </c>
      <c r="M60" s="316">
        <v>0</v>
      </c>
      <c r="N60" s="316">
        <v>0</v>
      </c>
      <c r="O60" s="316">
        <v>0</v>
      </c>
      <c r="P60" s="316">
        <v>0</v>
      </c>
      <c r="Q60" s="316"/>
      <c r="R60" s="12">
        <f t="shared" si="0"/>
        <v>0</v>
      </c>
      <c r="S60" s="41">
        <f t="shared" si="12"/>
        <v>0</v>
      </c>
      <c r="T60" s="32">
        <f t="shared" si="8"/>
        <v>0</v>
      </c>
      <c r="U60" s="33">
        <v>96</v>
      </c>
      <c r="V60" s="31">
        <v>49</v>
      </c>
      <c r="W60" s="31">
        <v>0</v>
      </c>
      <c r="X60" s="31">
        <v>1000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  <c r="AE60" s="33"/>
      <c r="AF60" s="316"/>
      <c r="AG60" s="34">
        <f t="shared" si="13"/>
        <v>0</v>
      </c>
      <c r="AH60" s="316"/>
      <c r="AI60" s="316"/>
      <c r="AJ60" s="316"/>
      <c r="AK60" s="317">
        <f t="shared" si="9"/>
        <v>49</v>
      </c>
      <c r="AL60" s="32">
        <f t="shared" si="14"/>
        <v>4704</v>
      </c>
      <c r="AM60" s="32">
        <f t="shared" si="18"/>
        <v>5704</v>
      </c>
      <c r="AN60" s="32">
        <f t="shared" si="17"/>
        <v>5704</v>
      </c>
      <c r="AO60" s="33"/>
      <c r="AP60" s="47"/>
      <c r="AQ60" s="10">
        <v>0</v>
      </c>
      <c r="AR60" s="10">
        <v>0</v>
      </c>
      <c r="AS60" s="16">
        <f>AN60*10%</f>
        <v>570.4</v>
      </c>
      <c r="AT60" s="16">
        <v>0</v>
      </c>
      <c r="AU60" s="16">
        <v>0</v>
      </c>
      <c r="AV60" s="16"/>
      <c r="AW60" s="16">
        <v>0</v>
      </c>
      <c r="AX60" s="16">
        <v>0</v>
      </c>
      <c r="AY60" s="16">
        <v>0</v>
      </c>
      <c r="AZ60" s="18"/>
      <c r="BA60" s="16"/>
      <c r="BB60" s="16"/>
      <c r="BC60" s="16"/>
      <c r="BD60" s="16"/>
      <c r="BE60" s="10"/>
      <c r="BF60" s="10"/>
      <c r="BG60" s="235"/>
    </row>
    <row r="61" spans="1:59" s="35" customFormat="1" x14ac:dyDescent="0.25">
      <c r="A61" s="47">
        <v>60</v>
      </c>
      <c r="B61" s="297">
        <v>45836</v>
      </c>
      <c r="C61" s="287" t="s">
        <v>272</v>
      </c>
      <c r="D61" s="287" t="s">
        <v>16</v>
      </c>
      <c r="E61" s="287" t="s">
        <v>3</v>
      </c>
      <c r="F61" s="287" t="s">
        <v>17</v>
      </c>
      <c r="G61" s="287" t="s">
        <v>171</v>
      </c>
      <c r="H61" s="287">
        <v>672</v>
      </c>
      <c r="I61" s="287"/>
      <c r="J61" s="31"/>
      <c r="K61" s="316"/>
      <c r="L61" s="316"/>
      <c r="M61" s="316"/>
      <c r="N61" s="316"/>
      <c r="O61" s="316"/>
      <c r="P61" s="316"/>
      <c r="Q61" s="316"/>
      <c r="R61" s="12">
        <f t="shared" si="0"/>
        <v>0</v>
      </c>
      <c r="S61" s="41">
        <f t="shared" si="12"/>
        <v>0</v>
      </c>
      <c r="T61" s="32">
        <f t="shared" si="8"/>
        <v>0</v>
      </c>
      <c r="U61" s="33">
        <v>60</v>
      </c>
      <c r="V61" s="31">
        <v>46.67</v>
      </c>
      <c r="W61" s="31">
        <v>0</v>
      </c>
      <c r="X61" s="31"/>
      <c r="Y61" s="31"/>
      <c r="Z61" s="31"/>
      <c r="AA61" s="31"/>
      <c r="AB61" s="31"/>
      <c r="AC61" s="31"/>
      <c r="AD61" s="31"/>
      <c r="AE61" s="33"/>
      <c r="AF61" s="316"/>
      <c r="AG61" s="34">
        <f t="shared" si="13"/>
        <v>0</v>
      </c>
      <c r="AH61" s="316"/>
      <c r="AI61" s="316"/>
      <c r="AJ61" s="316"/>
      <c r="AK61" s="317">
        <f t="shared" si="9"/>
        <v>46.67</v>
      </c>
      <c r="AL61" s="32">
        <f t="shared" si="14"/>
        <v>2800.2000000000003</v>
      </c>
      <c r="AM61" s="32">
        <f t="shared" si="18"/>
        <v>2800.2000000000003</v>
      </c>
      <c r="AN61" s="32">
        <f t="shared" si="17"/>
        <v>2800.2000000000003</v>
      </c>
      <c r="AO61" s="33"/>
      <c r="AP61" s="47"/>
      <c r="AQ61" s="10">
        <v>0</v>
      </c>
      <c r="AR61" s="10">
        <v>0</v>
      </c>
      <c r="AS61" s="16">
        <v>0</v>
      </c>
      <c r="AT61" s="16">
        <f>AN61*10%</f>
        <v>280.02000000000004</v>
      </c>
      <c r="AU61" s="16">
        <v>0</v>
      </c>
      <c r="AV61" s="16"/>
      <c r="AW61" s="16">
        <v>0</v>
      </c>
      <c r="AX61" s="16">
        <v>0</v>
      </c>
      <c r="AY61" s="16">
        <v>0</v>
      </c>
      <c r="AZ61" s="18"/>
      <c r="BA61" s="16"/>
      <c r="BB61" s="16"/>
      <c r="BC61" s="16"/>
      <c r="BD61" s="16"/>
      <c r="BE61" s="16"/>
      <c r="BF61" s="16"/>
      <c r="BG61" s="235"/>
    </row>
    <row r="62" spans="1:59" s="35" customFormat="1" x14ac:dyDescent="0.25">
      <c r="A62" s="47">
        <v>61</v>
      </c>
      <c r="B62" s="286">
        <v>45836</v>
      </c>
      <c r="C62" s="287" t="s">
        <v>271</v>
      </c>
      <c r="D62" s="287" t="s">
        <v>79</v>
      </c>
      <c r="E62" s="287" t="s">
        <v>11</v>
      </c>
      <c r="F62" s="287" t="s">
        <v>17</v>
      </c>
      <c r="G62" s="287" t="s">
        <v>171</v>
      </c>
      <c r="H62" s="287">
        <v>674</v>
      </c>
      <c r="I62" s="287" t="s">
        <v>206</v>
      </c>
      <c r="J62" s="31"/>
      <c r="K62" s="316"/>
      <c r="L62" s="316">
        <v>0</v>
      </c>
      <c r="M62" s="316">
        <v>0</v>
      </c>
      <c r="N62" s="316">
        <v>0</v>
      </c>
      <c r="O62" s="316">
        <v>0</v>
      </c>
      <c r="P62" s="316">
        <v>0</v>
      </c>
      <c r="Q62" s="316"/>
      <c r="R62" s="12">
        <f t="shared" si="0"/>
        <v>0</v>
      </c>
      <c r="S62" s="32">
        <f t="shared" si="12"/>
        <v>0</v>
      </c>
      <c r="T62" s="32">
        <f t="shared" ref="T62:T88" si="19">S62+P62+O62+N62+M62</f>
        <v>0</v>
      </c>
      <c r="U62" s="33">
        <v>81</v>
      </c>
      <c r="V62" s="31">
        <v>89.9</v>
      </c>
      <c r="W62" s="31"/>
      <c r="X62" s="31">
        <v>800</v>
      </c>
      <c r="Y62" s="31"/>
      <c r="Z62" s="31"/>
      <c r="AA62" s="31"/>
      <c r="AB62" s="31"/>
      <c r="AC62" s="31"/>
      <c r="AD62" s="31"/>
      <c r="AE62" s="33"/>
      <c r="AF62" s="316"/>
      <c r="AG62" s="34">
        <f t="shared" si="13"/>
        <v>0</v>
      </c>
      <c r="AH62" s="316"/>
      <c r="AI62" s="316"/>
      <c r="AJ62" s="316"/>
      <c r="AK62" s="317">
        <f t="shared" si="9"/>
        <v>89.9</v>
      </c>
      <c r="AL62" s="32">
        <f t="shared" si="14"/>
        <v>7281.9000000000005</v>
      </c>
      <c r="AM62" s="32">
        <f t="shared" si="18"/>
        <v>8081.9000000000005</v>
      </c>
      <c r="AN62" s="32">
        <f t="shared" si="17"/>
        <v>8081.9000000000005</v>
      </c>
      <c r="AO62" s="33"/>
      <c r="AP62" s="47"/>
      <c r="AQ62" s="10">
        <f>AN62*10%</f>
        <v>808.19</v>
      </c>
      <c r="AR62" s="10">
        <v>0</v>
      </c>
      <c r="AS62" s="16">
        <v>0</v>
      </c>
      <c r="AT62" s="16">
        <v>0</v>
      </c>
      <c r="AU62" s="16">
        <v>0</v>
      </c>
      <c r="AV62" s="16"/>
      <c r="AW62" s="16">
        <v>0</v>
      </c>
      <c r="AX62" s="16">
        <v>0</v>
      </c>
      <c r="AY62" s="16">
        <v>0</v>
      </c>
      <c r="AZ62" s="18"/>
      <c r="BA62" s="16"/>
      <c r="BB62" s="16"/>
      <c r="BC62" s="16"/>
      <c r="BD62" s="16"/>
      <c r="BE62" s="10"/>
      <c r="BF62" s="10"/>
      <c r="BG62" s="235"/>
    </row>
    <row r="63" spans="1:59" s="35" customFormat="1" x14ac:dyDescent="0.25">
      <c r="A63" s="47">
        <v>62</v>
      </c>
      <c r="B63" s="290">
        <v>45843</v>
      </c>
      <c r="C63" s="291" t="s">
        <v>273</v>
      </c>
      <c r="D63" s="291" t="s">
        <v>16</v>
      </c>
      <c r="E63" s="291" t="s">
        <v>3</v>
      </c>
      <c r="F63" s="291" t="s">
        <v>274</v>
      </c>
      <c r="G63" s="291" t="s">
        <v>171</v>
      </c>
      <c r="H63" s="291">
        <v>683</v>
      </c>
      <c r="I63" s="291" t="s">
        <v>96</v>
      </c>
      <c r="J63" s="31"/>
      <c r="K63" s="316">
        <v>0</v>
      </c>
      <c r="L63" s="316">
        <v>0</v>
      </c>
      <c r="M63" s="316">
        <v>0</v>
      </c>
      <c r="N63" s="316">
        <v>0</v>
      </c>
      <c r="O63" s="316">
        <v>0</v>
      </c>
      <c r="P63" s="316">
        <v>0</v>
      </c>
      <c r="Q63" s="316"/>
      <c r="R63" s="12">
        <f t="shared" si="0"/>
        <v>0</v>
      </c>
      <c r="S63" s="41">
        <f t="shared" si="12"/>
        <v>0</v>
      </c>
      <c r="T63" s="32">
        <f t="shared" si="19"/>
        <v>0</v>
      </c>
      <c r="U63" s="33">
        <v>2</v>
      </c>
      <c r="V63" s="31">
        <v>1500</v>
      </c>
      <c r="W63" s="31"/>
      <c r="X63" s="31"/>
      <c r="Y63" s="31"/>
      <c r="Z63" s="31"/>
      <c r="AA63" s="31"/>
      <c r="AB63" s="31"/>
      <c r="AC63" s="31"/>
      <c r="AD63" s="31"/>
      <c r="AE63" s="33"/>
      <c r="AF63" s="316"/>
      <c r="AG63" s="34">
        <f t="shared" si="13"/>
        <v>0</v>
      </c>
      <c r="AH63" s="316"/>
      <c r="AI63" s="316"/>
      <c r="AJ63" s="316"/>
      <c r="AK63" s="317">
        <f t="shared" si="9"/>
        <v>1500</v>
      </c>
      <c r="AL63" s="32">
        <f t="shared" si="14"/>
        <v>3000</v>
      </c>
      <c r="AM63" s="32">
        <f t="shared" si="18"/>
        <v>3000</v>
      </c>
      <c r="AN63" s="32">
        <f t="shared" si="17"/>
        <v>3000</v>
      </c>
      <c r="AO63" s="33"/>
      <c r="AP63" s="47"/>
      <c r="AQ63" s="10">
        <v>0</v>
      </c>
      <c r="AR63" s="10">
        <v>0</v>
      </c>
      <c r="AS63" s="16">
        <v>0</v>
      </c>
      <c r="AT63" s="16">
        <f>AN63*10%</f>
        <v>300</v>
      </c>
      <c r="AU63" s="16">
        <v>0</v>
      </c>
      <c r="AV63" s="16"/>
      <c r="AW63" s="16">
        <v>0</v>
      </c>
      <c r="AX63" s="16">
        <v>0</v>
      </c>
      <c r="AY63" s="16">
        <v>0</v>
      </c>
      <c r="AZ63" s="18"/>
      <c r="BA63" s="16"/>
      <c r="BB63" s="16"/>
      <c r="BC63" s="16"/>
      <c r="BD63" s="16"/>
      <c r="BE63" s="16"/>
      <c r="BF63" s="16"/>
      <c r="BG63" s="235"/>
    </row>
    <row r="64" spans="1:59" s="35" customFormat="1" x14ac:dyDescent="0.25">
      <c r="A64" s="47">
        <v>63</v>
      </c>
      <c r="B64" s="298">
        <v>45846</v>
      </c>
      <c r="C64" s="299" t="s">
        <v>275</v>
      </c>
      <c r="D64" s="299" t="s">
        <v>149</v>
      </c>
      <c r="E64" s="299" t="s">
        <v>74</v>
      </c>
      <c r="F64" s="299" t="s">
        <v>276</v>
      </c>
      <c r="G64" s="299" t="s">
        <v>171</v>
      </c>
      <c r="H64" s="299">
        <v>665</v>
      </c>
      <c r="I64" s="299" t="s">
        <v>149</v>
      </c>
      <c r="J64" s="47"/>
      <c r="K64" s="48">
        <v>0</v>
      </c>
      <c r="L64" s="48"/>
      <c r="M64" s="48">
        <v>0</v>
      </c>
      <c r="N64" s="48">
        <v>0</v>
      </c>
      <c r="O64" s="48">
        <v>0</v>
      </c>
      <c r="P64" s="48">
        <v>1000</v>
      </c>
      <c r="Q64" s="48"/>
      <c r="R64" s="12">
        <f t="shared" si="0"/>
        <v>0</v>
      </c>
      <c r="S64" s="41">
        <f t="shared" si="12"/>
        <v>0</v>
      </c>
      <c r="T64" s="41">
        <f t="shared" si="19"/>
        <v>1000</v>
      </c>
      <c r="U64" s="49">
        <v>180</v>
      </c>
      <c r="V64" s="47">
        <f>76+95</f>
        <v>171</v>
      </c>
      <c r="W64" s="47">
        <v>0</v>
      </c>
      <c r="X64" s="47">
        <f>3500+1400</f>
        <v>4900</v>
      </c>
      <c r="Y64" s="47"/>
      <c r="Z64" s="47"/>
      <c r="AA64" s="47"/>
      <c r="AB64" s="47"/>
      <c r="AC64" s="47"/>
      <c r="AD64" s="47"/>
      <c r="AE64" s="49">
        <v>170</v>
      </c>
      <c r="AF64" s="48">
        <v>21</v>
      </c>
      <c r="AG64" s="34">
        <f>AE64*AF64</f>
        <v>3570</v>
      </c>
      <c r="AH64" s="48"/>
      <c r="AI64" s="48"/>
      <c r="AJ64" s="48"/>
      <c r="AK64" s="317">
        <f t="shared" si="9"/>
        <v>171</v>
      </c>
      <c r="AL64" s="32">
        <f t="shared" si="14"/>
        <v>30780</v>
      </c>
      <c r="AM64" s="32">
        <f t="shared" si="18"/>
        <v>39250</v>
      </c>
      <c r="AN64" s="32">
        <f>AM64+T64-1400</f>
        <v>38850</v>
      </c>
      <c r="AO64" s="49"/>
      <c r="AP64" s="47"/>
      <c r="AQ64" s="45">
        <v>0</v>
      </c>
      <c r="AR64" s="45">
        <v>0</v>
      </c>
      <c r="AS64" s="45">
        <v>0</v>
      </c>
      <c r="AT64" s="45">
        <v>0</v>
      </c>
      <c r="AU64" s="45">
        <v>0</v>
      </c>
      <c r="AV64" s="282"/>
      <c r="AW64" s="45">
        <v>0</v>
      </c>
      <c r="AX64" s="45">
        <v>0</v>
      </c>
      <c r="AY64" s="45">
        <v>0</v>
      </c>
      <c r="AZ64" s="47"/>
      <c r="BA64" s="48"/>
      <c r="BB64" s="48"/>
      <c r="BC64" s="48"/>
      <c r="BD64" s="48"/>
      <c r="BE64" s="45"/>
      <c r="BF64" s="45"/>
      <c r="BG64" s="48"/>
    </row>
    <row r="65" spans="1:59" x14ac:dyDescent="0.25">
      <c r="A65" s="47">
        <v>64</v>
      </c>
      <c r="B65" s="298">
        <v>45848</v>
      </c>
      <c r="C65" s="299" t="s">
        <v>277</v>
      </c>
      <c r="D65" s="299" t="s">
        <v>278</v>
      </c>
      <c r="E65" s="299" t="s">
        <v>74</v>
      </c>
      <c r="F65" s="299" t="s">
        <v>278</v>
      </c>
      <c r="G65" s="299" t="s">
        <v>171</v>
      </c>
      <c r="H65" s="299">
        <v>663</v>
      </c>
      <c r="I65" s="299" t="s">
        <v>279</v>
      </c>
      <c r="J65" s="47"/>
      <c r="K65" s="48">
        <v>16</v>
      </c>
      <c r="L65" s="48"/>
      <c r="M65" s="48"/>
      <c r="N65" s="48"/>
      <c r="O65" s="48"/>
      <c r="P65" s="48"/>
      <c r="Q65" s="48"/>
      <c r="R65" s="12">
        <f t="shared" si="0"/>
        <v>16</v>
      </c>
      <c r="S65" s="41">
        <f t="shared" si="12"/>
        <v>640</v>
      </c>
      <c r="T65" s="32">
        <f t="shared" si="19"/>
        <v>640</v>
      </c>
      <c r="U65" s="49">
        <v>40</v>
      </c>
      <c r="V65" s="48">
        <v>59</v>
      </c>
      <c r="W65" s="48"/>
      <c r="X65" s="48">
        <f>850+300</f>
        <v>1150</v>
      </c>
      <c r="Y65" s="48"/>
      <c r="Z65" s="48"/>
      <c r="AA65" s="48"/>
      <c r="AB65" s="48"/>
      <c r="AC65" s="48"/>
      <c r="AD65" s="48"/>
      <c r="AE65" s="84"/>
      <c r="AF65" s="48"/>
      <c r="AG65" s="316">
        <f t="shared" si="13"/>
        <v>0</v>
      </c>
      <c r="AH65" s="48"/>
      <c r="AI65" s="48"/>
      <c r="AJ65" s="48">
        <v>1075.29</v>
      </c>
      <c r="AK65" s="317">
        <f t="shared" si="9"/>
        <v>59</v>
      </c>
      <c r="AL65" s="41">
        <f t="shared" si="14"/>
        <v>2360</v>
      </c>
      <c r="AM65" s="32">
        <f t="shared" si="18"/>
        <v>4585.29</v>
      </c>
      <c r="AN65" s="32">
        <f t="shared" si="17"/>
        <v>5225.29</v>
      </c>
      <c r="AO65" s="49"/>
      <c r="AP65" s="216"/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/>
      <c r="AW65" s="10">
        <v>0</v>
      </c>
      <c r="AX65" s="10">
        <v>0</v>
      </c>
      <c r="AY65" s="10">
        <v>0</v>
      </c>
      <c r="AZ65" s="18"/>
      <c r="BA65" s="16"/>
      <c r="BB65" s="16"/>
      <c r="BC65" s="16"/>
      <c r="BD65" s="16"/>
      <c r="BE65" s="16"/>
      <c r="BF65" s="16"/>
      <c r="BG65" s="235"/>
    </row>
    <row r="66" spans="1:59" s="35" customFormat="1" x14ac:dyDescent="0.25">
      <c r="A66" s="47">
        <v>65</v>
      </c>
      <c r="B66" s="290">
        <v>45851</v>
      </c>
      <c r="C66" s="291" t="s">
        <v>280</v>
      </c>
      <c r="D66" s="291" t="s">
        <v>79</v>
      </c>
      <c r="E66" s="291" t="s">
        <v>3</v>
      </c>
      <c r="F66" s="291" t="s">
        <v>281</v>
      </c>
      <c r="G66" s="291" t="s">
        <v>171</v>
      </c>
      <c r="H66" s="291">
        <v>682</v>
      </c>
      <c r="I66" s="291"/>
      <c r="J66" s="31"/>
      <c r="K66" s="316">
        <v>0</v>
      </c>
      <c r="L66" s="316">
        <v>0</v>
      </c>
      <c r="M66" s="316">
        <v>0</v>
      </c>
      <c r="N66" s="316">
        <v>0</v>
      </c>
      <c r="O66" s="316">
        <v>0</v>
      </c>
      <c r="P66" s="316">
        <v>0</v>
      </c>
      <c r="Q66" s="316"/>
      <c r="R66" s="12">
        <f t="shared" ref="R66:R98" si="20">K66+L66</f>
        <v>0</v>
      </c>
      <c r="S66" s="41">
        <f t="shared" si="12"/>
        <v>0</v>
      </c>
      <c r="T66" s="32">
        <f t="shared" si="19"/>
        <v>0</v>
      </c>
      <c r="U66" s="33">
        <v>1</v>
      </c>
      <c r="V66" s="31">
        <v>6000</v>
      </c>
      <c r="W66" s="31"/>
      <c r="X66" s="31"/>
      <c r="Y66" s="31"/>
      <c r="Z66" s="31"/>
      <c r="AA66" s="31"/>
      <c r="AB66" s="31"/>
      <c r="AC66" s="31"/>
      <c r="AD66" s="31"/>
      <c r="AE66" s="33"/>
      <c r="AF66" s="316"/>
      <c r="AG66" s="34">
        <f t="shared" si="13"/>
        <v>0</v>
      </c>
      <c r="AH66" s="316"/>
      <c r="AI66" s="316"/>
      <c r="AJ66" s="316"/>
      <c r="AK66" s="317">
        <f t="shared" ref="AK66:AK108" si="21">V66+W66</f>
        <v>6000</v>
      </c>
      <c r="AL66" s="32">
        <f t="shared" si="14"/>
        <v>6000</v>
      </c>
      <c r="AM66" s="32">
        <f t="shared" si="18"/>
        <v>6000</v>
      </c>
      <c r="AN66" s="32">
        <f t="shared" si="17"/>
        <v>6000</v>
      </c>
      <c r="AO66" s="33"/>
      <c r="AP66" s="47"/>
      <c r="AQ66" s="10">
        <f>AN66*10%</f>
        <v>600</v>
      </c>
      <c r="AR66" s="10">
        <v>0</v>
      </c>
      <c r="AS66" s="16">
        <v>0</v>
      </c>
      <c r="AT66" s="16">
        <v>0</v>
      </c>
      <c r="AU66" s="16">
        <v>0</v>
      </c>
      <c r="AV66" s="16"/>
      <c r="AW66" s="16">
        <v>0</v>
      </c>
      <c r="AX66" s="16">
        <v>0</v>
      </c>
      <c r="AY66" s="16">
        <v>0</v>
      </c>
      <c r="AZ66" s="18"/>
      <c r="BA66" s="16"/>
      <c r="BB66" s="16"/>
      <c r="BC66" s="16"/>
      <c r="BD66" s="16"/>
      <c r="BE66" s="10"/>
      <c r="BF66" s="10"/>
      <c r="BG66" s="235"/>
    </row>
    <row r="67" spans="1:59" s="35" customFormat="1" x14ac:dyDescent="0.25">
      <c r="A67" s="47">
        <v>66</v>
      </c>
      <c r="B67" s="75">
        <v>45851</v>
      </c>
      <c r="C67" s="76" t="s">
        <v>282</v>
      </c>
      <c r="D67" s="76" t="s">
        <v>5</v>
      </c>
      <c r="E67" s="76" t="s">
        <v>74</v>
      </c>
      <c r="F67" s="76" t="s">
        <v>283</v>
      </c>
      <c r="G67" s="76" t="s">
        <v>171</v>
      </c>
      <c r="H67" s="76">
        <v>696</v>
      </c>
      <c r="I67" s="76"/>
      <c r="J67" s="216"/>
      <c r="K67" s="235">
        <v>0</v>
      </c>
      <c r="L67" s="235"/>
      <c r="M67" s="235"/>
      <c r="N67" s="235"/>
      <c r="O67" s="235"/>
      <c r="P67" s="235"/>
      <c r="Q67" s="235"/>
      <c r="R67" s="12">
        <f t="shared" si="20"/>
        <v>0</v>
      </c>
      <c r="S67" s="17">
        <f t="shared" si="12"/>
        <v>0</v>
      </c>
      <c r="T67" s="22">
        <f t="shared" si="19"/>
        <v>0</v>
      </c>
      <c r="U67" s="20">
        <v>50</v>
      </c>
      <c r="V67" s="216">
        <v>65</v>
      </c>
      <c r="W67" s="216"/>
      <c r="X67" s="216"/>
      <c r="Y67" s="216"/>
      <c r="Z67" s="216"/>
      <c r="AA67" s="216"/>
      <c r="AB67" s="216"/>
      <c r="AC67" s="216"/>
      <c r="AD67" s="216"/>
      <c r="AE67" s="20"/>
      <c r="AF67" s="235"/>
      <c r="AG67" s="74">
        <f t="shared" si="13"/>
        <v>0</v>
      </c>
      <c r="AH67" s="235"/>
      <c r="AI67" s="235"/>
      <c r="AJ67" s="235"/>
      <c r="AK67" s="317">
        <f t="shared" si="21"/>
        <v>65</v>
      </c>
      <c r="AL67" s="17">
        <f t="shared" si="14"/>
        <v>3250</v>
      </c>
      <c r="AM67" s="22">
        <f t="shared" si="18"/>
        <v>3250</v>
      </c>
      <c r="AN67" s="22">
        <f t="shared" si="17"/>
        <v>3250</v>
      </c>
      <c r="AO67" s="20"/>
      <c r="AP67" s="47"/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/>
      <c r="AW67" s="10">
        <v>0</v>
      </c>
      <c r="AX67" s="10">
        <v>0</v>
      </c>
      <c r="AY67" s="10">
        <v>0</v>
      </c>
      <c r="AZ67" s="10">
        <v>0</v>
      </c>
      <c r="BA67" s="16"/>
      <c r="BB67" s="16"/>
      <c r="BC67" s="16"/>
      <c r="BD67" s="16"/>
      <c r="BE67" s="16"/>
      <c r="BF67" s="16"/>
      <c r="BG67" s="235"/>
    </row>
    <row r="68" spans="1:59" x14ac:dyDescent="0.25">
      <c r="A68" s="47">
        <v>67</v>
      </c>
      <c r="B68" s="290">
        <v>45855</v>
      </c>
      <c r="C68" s="291" t="s">
        <v>284</v>
      </c>
      <c r="D68" s="291" t="s">
        <v>79</v>
      </c>
      <c r="E68" s="291" t="s">
        <v>11</v>
      </c>
      <c r="F68" s="291" t="s">
        <v>17</v>
      </c>
      <c r="G68" s="291" t="s">
        <v>171</v>
      </c>
      <c r="H68" s="291">
        <v>681</v>
      </c>
      <c r="I68" s="291" t="s">
        <v>206</v>
      </c>
      <c r="J68" s="31"/>
      <c r="K68" s="316">
        <v>0</v>
      </c>
      <c r="L68" s="316">
        <v>0</v>
      </c>
      <c r="M68" s="316">
        <v>0</v>
      </c>
      <c r="N68" s="316">
        <v>0</v>
      </c>
      <c r="O68" s="316">
        <v>0</v>
      </c>
      <c r="P68" s="316">
        <v>0</v>
      </c>
      <c r="Q68" s="316"/>
      <c r="R68" s="12">
        <f t="shared" si="20"/>
        <v>0</v>
      </c>
      <c r="S68" s="41">
        <f t="shared" ref="S68:S76" si="22">(K68+L68)*U68</f>
        <v>0</v>
      </c>
      <c r="T68" s="32">
        <f t="shared" si="19"/>
        <v>0</v>
      </c>
      <c r="U68" s="33">
        <v>78</v>
      </c>
      <c r="V68" s="31">
        <v>89.9</v>
      </c>
      <c r="W68" s="31">
        <v>0</v>
      </c>
      <c r="X68" s="31">
        <v>800</v>
      </c>
      <c r="Y68" s="31"/>
      <c r="Z68" s="31"/>
      <c r="AA68" s="31"/>
      <c r="AB68" s="31"/>
      <c r="AC68" s="31"/>
      <c r="AD68" s="31"/>
      <c r="AE68" s="33"/>
      <c r="AF68" s="316"/>
      <c r="AG68" s="34">
        <f t="shared" si="13"/>
        <v>0</v>
      </c>
      <c r="AH68" s="316"/>
      <c r="AI68" s="316"/>
      <c r="AJ68" s="316"/>
      <c r="AK68" s="317">
        <f t="shared" si="21"/>
        <v>89.9</v>
      </c>
      <c r="AL68" s="32">
        <f t="shared" si="14"/>
        <v>7012.2000000000007</v>
      </c>
      <c r="AM68" s="32">
        <f t="shared" si="18"/>
        <v>7812.2000000000007</v>
      </c>
      <c r="AN68" s="32">
        <f t="shared" si="17"/>
        <v>7812.2000000000007</v>
      </c>
      <c r="AO68" s="33"/>
      <c r="AP68" s="216"/>
      <c r="AQ68" s="10">
        <f>AN68*10%</f>
        <v>781.22000000000014</v>
      </c>
      <c r="AR68" s="10">
        <v>0</v>
      </c>
      <c r="AS68" s="16">
        <v>0</v>
      </c>
      <c r="AT68" s="16">
        <v>0</v>
      </c>
      <c r="AU68" s="16">
        <v>0</v>
      </c>
      <c r="AV68" s="16"/>
      <c r="AW68" s="16">
        <v>0</v>
      </c>
      <c r="AX68" s="16">
        <v>0</v>
      </c>
      <c r="AY68" s="16">
        <v>0</v>
      </c>
      <c r="AZ68" s="18"/>
      <c r="BA68" s="16"/>
      <c r="BB68" s="16"/>
      <c r="BC68" s="16"/>
      <c r="BD68" s="16"/>
      <c r="BE68" s="10"/>
      <c r="BF68" s="10"/>
      <c r="BG68" s="235"/>
    </row>
    <row r="69" spans="1:59" s="35" customFormat="1" x14ac:dyDescent="0.25">
      <c r="A69" s="47">
        <v>68</v>
      </c>
      <c r="B69" s="290">
        <v>45857</v>
      </c>
      <c r="C69" s="291" t="s">
        <v>285</v>
      </c>
      <c r="D69" s="291" t="s">
        <v>79</v>
      </c>
      <c r="E69" s="291" t="s">
        <v>3</v>
      </c>
      <c r="F69" s="291" t="s">
        <v>9</v>
      </c>
      <c r="G69" s="291" t="s">
        <v>171</v>
      </c>
      <c r="H69" s="291">
        <v>635</v>
      </c>
      <c r="I69" s="291" t="s">
        <v>286</v>
      </c>
      <c r="J69" s="31"/>
      <c r="K69" s="316">
        <v>0</v>
      </c>
      <c r="L69" s="316">
        <v>0</v>
      </c>
      <c r="M69" s="316">
        <v>0</v>
      </c>
      <c r="N69" s="316">
        <v>0</v>
      </c>
      <c r="O69" s="316">
        <v>0</v>
      </c>
      <c r="P69" s="316">
        <v>0</v>
      </c>
      <c r="Q69" s="316"/>
      <c r="R69" s="12">
        <f t="shared" si="20"/>
        <v>0</v>
      </c>
      <c r="S69" s="41">
        <f t="shared" si="22"/>
        <v>0</v>
      </c>
      <c r="T69" s="32">
        <f t="shared" si="19"/>
        <v>0</v>
      </c>
      <c r="U69" s="33">
        <v>1859</v>
      </c>
      <c r="V69" s="316">
        <f>219045.97/U69</f>
        <v>117.83</v>
      </c>
      <c r="W69" s="31">
        <v>0</v>
      </c>
      <c r="X69" s="31">
        <v>0</v>
      </c>
      <c r="Y69" s="31">
        <f>29487.1+186.15</f>
        <v>29673.25</v>
      </c>
      <c r="Z69" s="31">
        <v>0</v>
      </c>
      <c r="AA69" s="31">
        <v>3750</v>
      </c>
      <c r="AB69" s="31">
        <v>0</v>
      </c>
      <c r="AC69" s="31">
        <v>0</v>
      </c>
      <c r="AD69" s="31">
        <v>0</v>
      </c>
      <c r="AE69" s="33">
        <v>145</v>
      </c>
      <c r="AF69" s="316">
        <v>107.673103</v>
      </c>
      <c r="AG69" s="34">
        <f t="shared" si="13"/>
        <v>15612.599935</v>
      </c>
      <c r="AH69" s="316">
        <v>0</v>
      </c>
      <c r="AI69" s="316">
        <v>0</v>
      </c>
      <c r="AJ69" s="316">
        <v>0</v>
      </c>
      <c r="AK69" s="317">
        <f t="shared" si="21"/>
        <v>117.83</v>
      </c>
      <c r="AL69" s="32">
        <f t="shared" si="14"/>
        <v>219045.97</v>
      </c>
      <c r="AM69" s="32">
        <f t="shared" si="18"/>
        <v>268081.81993500004</v>
      </c>
      <c r="AN69" s="32">
        <f t="shared" si="17"/>
        <v>268081.81993500004</v>
      </c>
      <c r="AO69" s="33">
        <f>AE69+U69</f>
        <v>2004</v>
      </c>
      <c r="AP69" s="47"/>
      <c r="AQ69" s="10">
        <f>AN69*10%</f>
        <v>26808.181993500006</v>
      </c>
      <c r="AR69" s="10">
        <v>0</v>
      </c>
      <c r="AS69" s="16">
        <v>0</v>
      </c>
      <c r="AT69" s="16">
        <v>0</v>
      </c>
      <c r="AU69" s="16">
        <v>0</v>
      </c>
      <c r="AV69" s="16">
        <f>AQ69</f>
        <v>26808.181993500006</v>
      </c>
      <c r="AW69" s="16">
        <v>0</v>
      </c>
      <c r="AX69" s="16">
        <v>0</v>
      </c>
      <c r="AY69" s="16">
        <v>0</v>
      </c>
      <c r="AZ69" s="18"/>
      <c r="BA69" s="16"/>
      <c r="BB69" s="16"/>
      <c r="BC69" s="16"/>
      <c r="BD69" s="16"/>
      <c r="BE69" s="16"/>
      <c r="BF69" s="16"/>
      <c r="BG69" s="235"/>
    </row>
    <row r="70" spans="1:59" s="35" customFormat="1" x14ac:dyDescent="0.25">
      <c r="A70" s="47">
        <v>69</v>
      </c>
      <c r="B70" s="290">
        <v>45857</v>
      </c>
      <c r="C70" s="291" t="s">
        <v>287</v>
      </c>
      <c r="D70" s="291" t="s">
        <v>79</v>
      </c>
      <c r="E70" s="291" t="s">
        <v>3</v>
      </c>
      <c r="F70" s="291" t="s">
        <v>9</v>
      </c>
      <c r="G70" s="291" t="s">
        <v>171</v>
      </c>
      <c r="H70" s="291">
        <v>660</v>
      </c>
      <c r="I70" s="291" t="s">
        <v>288</v>
      </c>
      <c r="J70" s="31"/>
      <c r="K70" s="316">
        <v>0</v>
      </c>
      <c r="L70" s="316">
        <v>28</v>
      </c>
      <c r="M70" s="316">
        <v>0</v>
      </c>
      <c r="N70" s="316">
        <v>0</v>
      </c>
      <c r="O70" s="316">
        <v>0</v>
      </c>
      <c r="P70" s="316">
        <v>0</v>
      </c>
      <c r="Q70" s="316"/>
      <c r="R70" s="12">
        <f t="shared" si="20"/>
        <v>28</v>
      </c>
      <c r="S70" s="41">
        <f t="shared" si="22"/>
        <v>38976</v>
      </c>
      <c r="T70" s="32">
        <f t="shared" si="19"/>
        <v>38976</v>
      </c>
      <c r="U70" s="33">
        <v>1392</v>
      </c>
      <c r="V70" s="319">
        <v>94</v>
      </c>
      <c r="W70" s="316"/>
      <c r="X70" s="316">
        <v>15000</v>
      </c>
      <c r="Y70" s="316"/>
      <c r="Z70" s="316"/>
      <c r="AA70" s="316"/>
      <c r="AB70" s="316"/>
      <c r="AC70" s="316"/>
      <c r="AD70" s="316"/>
      <c r="AE70" s="97">
        <v>192</v>
      </c>
      <c r="AF70" s="316">
        <v>122</v>
      </c>
      <c r="AG70" s="34">
        <f t="shared" si="13"/>
        <v>23424</v>
      </c>
      <c r="AH70" s="316"/>
      <c r="AI70" s="316"/>
      <c r="AJ70" s="316"/>
      <c r="AK70" s="317">
        <f t="shared" si="21"/>
        <v>94</v>
      </c>
      <c r="AL70" s="32">
        <f t="shared" si="14"/>
        <v>130848</v>
      </c>
      <c r="AM70" s="32">
        <f t="shared" si="18"/>
        <v>169272</v>
      </c>
      <c r="AN70" s="32">
        <f t="shared" si="17"/>
        <v>208248</v>
      </c>
      <c r="AO70" s="33"/>
      <c r="AP70" s="47"/>
      <c r="AQ70" s="10">
        <f>AN70*10%</f>
        <v>20824.800000000003</v>
      </c>
      <c r="AR70" s="10">
        <v>0</v>
      </c>
      <c r="AS70" s="16">
        <v>0</v>
      </c>
      <c r="AT70" s="16">
        <v>0</v>
      </c>
      <c r="AU70" s="16">
        <v>0</v>
      </c>
      <c r="AV70" s="16"/>
      <c r="AW70" s="16">
        <v>0</v>
      </c>
      <c r="AX70" s="16">
        <v>0</v>
      </c>
      <c r="AY70" s="16">
        <v>0</v>
      </c>
      <c r="AZ70" s="18"/>
      <c r="BA70" s="16"/>
      <c r="BB70" s="16"/>
      <c r="BC70" s="16"/>
      <c r="BD70" s="16"/>
      <c r="BE70" s="10"/>
      <c r="BF70" s="10"/>
      <c r="BG70" s="235"/>
    </row>
    <row r="71" spans="1:59" s="35" customFormat="1" x14ac:dyDescent="0.25">
      <c r="A71" s="47">
        <v>70</v>
      </c>
      <c r="B71" s="298">
        <v>45863</v>
      </c>
      <c r="C71" s="299" t="s">
        <v>289</v>
      </c>
      <c r="D71" s="299" t="s">
        <v>185</v>
      </c>
      <c r="E71" s="299" t="s">
        <v>74</v>
      </c>
      <c r="F71" s="299" t="s">
        <v>274</v>
      </c>
      <c r="G71" s="299" t="s">
        <v>171</v>
      </c>
      <c r="H71" s="299">
        <v>699</v>
      </c>
      <c r="I71" s="299" t="s">
        <v>185</v>
      </c>
      <c r="J71" s="47"/>
      <c r="K71" s="48"/>
      <c r="L71" s="48"/>
      <c r="M71" s="48"/>
      <c r="N71" s="48"/>
      <c r="O71" s="48"/>
      <c r="P71" s="48"/>
      <c r="Q71" s="48"/>
      <c r="R71" s="12">
        <f t="shared" si="20"/>
        <v>0</v>
      </c>
      <c r="S71" s="41">
        <f t="shared" si="22"/>
        <v>0</v>
      </c>
      <c r="T71" s="32">
        <f t="shared" si="19"/>
        <v>0</v>
      </c>
      <c r="U71" s="49">
        <v>35</v>
      </c>
      <c r="V71" s="47">
        <v>38</v>
      </c>
      <c r="W71" s="47"/>
      <c r="X71" s="47">
        <v>1150</v>
      </c>
      <c r="Y71" s="47"/>
      <c r="Z71" s="47"/>
      <c r="AA71" s="47"/>
      <c r="AB71" s="47"/>
      <c r="AC71" s="47"/>
      <c r="AD71" s="47"/>
      <c r="AE71" s="49"/>
      <c r="AF71" s="47"/>
      <c r="AG71" s="316">
        <f t="shared" si="13"/>
        <v>0</v>
      </c>
      <c r="AH71" s="47"/>
      <c r="AI71" s="47"/>
      <c r="AJ71" s="47">
        <v>215</v>
      </c>
      <c r="AK71" s="317">
        <f t="shared" si="21"/>
        <v>38</v>
      </c>
      <c r="AL71" s="41">
        <f t="shared" si="14"/>
        <v>1330</v>
      </c>
      <c r="AM71" s="32">
        <f t="shared" si="18"/>
        <v>2695</v>
      </c>
      <c r="AN71" s="32">
        <f t="shared" si="17"/>
        <v>2695</v>
      </c>
      <c r="AO71" s="49"/>
      <c r="AP71" s="47"/>
      <c r="AQ71" s="10">
        <v>0</v>
      </c>
      <c r="AR71" s="10">
        <v>0</v>
      </c>
      <c r="AS71" s="16">
        <v>0</v>
      </c>
      <c r="AT71" s="16">
        <v>0</v>
      </c>
      <c r="AU71" s="16">
        <v>0</v>
      </c>
      <c r="AV71" s="16"/>
      <c r="AW71" s="16">
        <v>0</v>
      </c>
      <c r="AX71" s="16">
        <v>0</v>
      </c>
      <c r="AY71" s="16">
        <v>0</v>
      </c>
      <c r="AZ71" s="18"/>
      <c r="BA71" s="16"/>
      <c r="BB71" s="16"/>
      <c r="BC71" s="16"/>
      <c r="BD71" s="16"/>
      <c r="BE71" s="16"/>
      <c r="BF71" s="16"/>
      <c r="BG71" s="235"/>
    </row>
    <row r="72" spans="1:59" s="35" customFormat="1" x14ac:dyDescent="0.25">
      <c r="A72" s="47">
        <v>71</v>
      </c>
      <c r="B72" s="290">
        <v>45864</v>
      </c>
      <c r="C72" s="291" t="s">
        <v>290</v>
      </c>
      <c r="D72" s="291" t="s">
        <v>79</v>
      </c>
      <c r="E72" s="291" t="s">
        <v>3</v>
      </c>
      <c r="F72" s="291" t="s">
        <v>9</v>
      </c>
      <c r="G72" s="291" t="s">
        <v>171</v>
      </c>
      <c r="H72" s="291">
        <v>647</v>
      </c>
      <c r="I72" s="291" t="s">
        <v>286</v>
      </c>
      <c r="J72" s="31"/>
      <c r="K72" s="316">
        <v>0</v>
      </c>
      <c r="L72" s="316">
        <v>0</v>
      </c>
      <c r="M72" s="316">
        <v>0</v>
      </c>
      <c r="N72" s="316">
        <v>0</v>
      </c>
      <c r="O72" s="316">
        <v>0</v>
      </c>
      <c r="P72" s="316">
        <v>0</v>
      </c>
      <c r="Q72" s="316"/>
      <c r="R72" s="12">
        <f t="shared" si="20"/>
        <v>0</v>
      </c>
      <c r="S72" s="32">
        <f t="shared" si="22"/>
        <v>0</v>
      </c>
      <c r="T72" s="32">
        <f t="shared" si="19"/>
        <v>0</v>
      </c>
      <c r="U72" s="33">
        <v>1903</v>
      </c>
      <c r="V72" s="31">
        <v>144.38</v>
      </c>
      <c r="W72" s="31">
        <v>0</v>
      </c>
      <c r="X72" s="31">
        <v>0</v>
      </c>
      <c r="Y72" s="31">
        <v>0</v>
      </c>
      <c r="Z72" s="31">
        <v>0</v>
      </c>
      <c r="AA72" s="31">
        <v>4000</v>
      </c>
      <c r="AB72" s="31">
        <v>0</v>
      </c>
      <c r="AC72" s="31">
        <v>0</v>
      </c>
      <c r="AD72" s="31">
        <v>0</v>
      </c>
      <c r="AE72" s="33">
        <v>649</v>
      </c>
      <c r="AF72" s="316">
        <v>144.38</v>
      </c>
      <c r="AG72" s="34">
        <f>AE72*AF72+72.19*32</f>
        <v>96012.7</v>
      </c>
      <c r="AH72" s="316">
        <v>0</v>
      </c>
      <c r="AI72" s="316">
        <v>0</v>
      </c>
      <c r="AJ72" s="316">
        <v>0</v>
      </c>
      <c r="AK72" s="43">
        <f t="shared" si="21"/>
        <v>144.38</v>
      </c>
      <c r="AL72" s="32">
        <f t="shared" si="14"/>
        <v>274755.14</v>
      </c>
      <c r="AM72" s="32">
        <f t="shared" si="18"/>
        <v>374767.84</v>
      </c>
      <c r="AN72" s="32">
        <f t="shared" si="17"/>
        <v>374767.84</v>
      </c>
      <c r="AO72" s="33">
        <f>AE72+U72</f>
        <v>2552</v>
      </c>
      <c r="AP72" s="47"/>
      <c r="AQ72" s="10">
        <f>AN72*10%</f>
        <v>37476.784000000007</v>
      </c>
      <c r="AR72" s="10">
        <v>0</v>
      </c>
      <c r="AS72" s="16">
        <v>0</v>
      </c>
      <c r="AT72" s="16">
        <v>0</v>
      </c>
      <c r="AU72" s="16">
        <v>0</v>
      </c>
      <c r="AV72" s="16">
        <f>AQ72</f>
        <v>37476.784000000007</v>
      </c>
      <c r="AW72" s="16">
        <v>0</v>
      </c>
      <c r="AX72" s="16">
        <v>0</v>
      </c>
      <c r="AY72" s="16">
        <v>0</v>
      </c>
      <c r="AZ72" s="18"/>
      <c r="BA72" s="16"/>
      <c r="BB72" s="16"/>
      <c r="BC72" s="16"/>
      <c r="BD72" s="16"/>
      <c r="BE72" s="10"/>
      <c r="BF72" s="10"/>
      <c r="BG72" s="235"/>
    </row>
    <row r="73" spans="1:59" s="35" customFormat="1" x14ac:dyDescent="0.25">
      <c r="A73" s="47">
        <v>72</v>
      </c>
      <c r="B73" s="286">
        <v>45870</v>
      </c>
      <c r="C73" s="287" t="s">
        <v>291</v>
      </c>
      <c r="D73" s="287" t="s">
        <v>96</v>
      </c>
      <c r="E73" s="287" t="s">
        <v>3</v>
      </c>
      <c r="F73" s="287" t="s">
        <v>292</v>
      </c>
      <c r="G73" s="287" t="s">
        <v>171</v>
      </c>
      <c r="H73" s="275">
        <v>677</v>
      </c>
      <c r="I73" s="287" t="s">
        <v>293</v>
      </c>
      <c r="J73" s="31"/>
      <c r="K73" s="316">
        <v>0</v>
      </c>
      <c r="L73" s="316">
        <v>0</v>
      </c>
      <c r="M73" s="316">
        <v>0</v>
      </c>
      <c r="N73" s="316">
        <v>0</v>
      </c>
      <c r="O73" s="316">
        <v>0</v>
      </c>
      <c r="P73" s="316">
        <v>0</v>
      </c>
      <c r="Q73" s="316"/>
      <c r="R73" s="12">
        <f t="shared" si="20"/>
        <v>0</v>
      </c>
      <c r="S73" s="32">
        <f t="shared" si="22"/>
        <v>0</v>
      </c>
      <c r="T73" s="32">
        <f t="shared" si="19"/>
        <v>0</v>
      </c>
      <c r="U73" s="33">
        <v>316</v>
      </c>
      <c r="V73" s="31">
        <v>95</v>
      </c>
      <c r="W73" s="31"/>
      <c r="X73" s="31"/>
      <c r="Y73" s="31"/>
      <c r="Z73" s="31"/>
      <c r="AA73" s="31"/>
      <c r="AB73" s="31"/>
      <c r="AC73" s="31"/>
      <c r="AD73" s="31"/>
      <c r="AE73" s="33">
        <v>31</v>
      </c>
      <c r="AF73" s="316">
        <v>95</v>
      </c>
      <c r="AG73" s="34">
        <f t="shared" ref="AG73:AG91" si="23">AE73*AF73</f>
        <v>2945</v>
      </c>
      <c r="AH73" s="316"/>
      <c r="AI73" s="316"/>
      <c r="AJ73" s="316"/>
      <c r="AK73" s="317">
        <f t="shared" si="21"/>
        <v>95</v>
      </c>
      <c r="AL73" s="32">
        <f t="shared" si="14"/>
        <v>30020</v>
      </c>
      <c r="AM73" s="32">
        <f t="shared" si="18"/>
        <v>32965</v>
      </c>
      <c r="AN73" s="32">
        <f t="shared" si="17"/>
        <v>32965</v>
      </c>
      <c r="AO73" s="33"/>
      <c r="AP73" s="47"/>
      <c r="AQ73" s="10">
        <v>0</v>
      </c>
      <c r="AR73" s="10">
        <v>0</v>
      </c>
      <c r="AS73" s="16">
        <v>0</v>
      </c>
      <c r="AT73" s="16">
        <f>AN73*10%</f>
        <v>3296.5</v>
      </c>
      <c r="AU73" s="16">
        <v>0</v>
      </c>
      <c r="AV73" s="16"/>
      <c r="AW73" s="16">
        <v>0</v>
      </c>
      <c r="AX73" s="16">
        <v>0</v>
      </c>
      <c r="AY73" s="16">
        <v>0</v>
      </c>
      <c r="AZ73" s="18"/>
      <c r="BA73" s="16"/>
      <c r="BB73" s="16"/>
      <c r="BC73" s="16"/>
      <c r="BD73" s="16"/>
      <c r="BE73" s="16"/>
      <c r="BF73" s="16"/>
      <c r="BG73" s="235"/>
    </row>
    <row r="74" spans="1:59" s="35" customFormat="1" x14ac:dyDescent="0.25">
      <c r="A74" s="47">
        <v>73</v>
      </c>
      <c r="B74" s="286">
        <v>45870</v>
      </c>
      <c r="C74" s="287" t="s">
        <v>294</v>
      </c>
      <c r="D74" s="287" t="s">
        <v>295</v>
      </c>
      <c r="E74" s="287" t="s">
        <v>74</v>
      </c>
      <c r="F74" s="287" t="s">
        <v>296</v>
      </c>
      <c r="G74" s="287" t="s">
        <v>171</v>
      </c>
      <c r="H74" s="275">
        <v>704</v>
      </c>
      <c r="I74" s="287" t="s">
        <v>295</v>
      </c>
      <c r="J74" s="31"/>
      <c r="K74" s="316">
        <v>0</v>
      </c>
      <c r="L74" s="316">
        <v>0</v>
      </c>
      <c r="M74" s="316">
        <v>0</v>
      </c>
      <c r="N74" s="316">
        <v>0</v>
      </c>
      <c r="O74" s="316">
        <v>0</v>
      </c>
      <c r="P74" s="316">
        <v>0</v>
      </c>
      <c r="Q74" s="316"/>
      <c r="R74" s="12">
        <f t="shared" si="20"/>
        <v>0</v>
      </c>
      <c r="S74" s="32">
        <f t="shared" si="22"/>
        <v>0</v>
      </c>
      <c r="T74" s="32">
        <f t="shared" si="19"/>
        <v>0</v>
      </c>
      <c r="U74" s="33">
        <v>25</v>
      </c>
      <c r="V74" s="316">
        <v>70</v>
      </c>
      <c r="W74" s="316">
        <v>0</v>
      </c>
      <c r="X74" s="316">
        <v>500</v>
      </c>
      <c r="Y74" s="316"/>
      <c r="Z74" s="316"/>
      <c r="AA74" s="316"/>
      <c r="AB74" s="316"/>
      <c r="AC74" s="316"/>
      <c r="AD74" s="316"/>
      <c r="AE74" s="97"/>
      <c r="AF74" s="316"/>
      <c r="AG74" s="316">
        <f t="shared" si="23"/>
        <v>0</v>
      </c>
      <c r="AH74" s="316"/>
      <c r="AI74" s="316"/>
      <c r="AJ74" s="316">
        <v>195</v>
      </c>
      <c r="AK74" s="317">
        <f t="shared" si="21"/>
        <v>70</v>
      </c>
      <c r="AL74" s="32">
        <f t="shared" si="14"/>
        <v>1750</v>
      </c>
      <c r="AM74" s="32">
        <f t="shared" si="18"/>
        <v>2445</v>
      </c>
      <c r="AN74" s="32">
        <f t="shared" si="17"/>
        <v>2445</v>
      </c>
      <c r="AO74" s="33"/>
      <c r="AP74" s="47"/>
      <c r="AQ74" s="10">
        <v>0</v>
      </c>
      <c r="AR74" s="10">
        <v>0</v>
      </c>
      <c r="AS74" s="16">
        <v>0</v>
      </c>
      <c r="AT74" s="16">
        <v>0</v>
      </c>
      <c r="AU74" s="16">
        <v>0</v>
      </c>
      <c r="AV74" s="16"/>
      <c r="AW74" s="16">
        <v>0</v>
      </c>
      <c r="AX74" s="16">
        <v>0</v>
      </c>
      <c r="AY74" s="16">
        <v>0</v>
      </c>
      <c r="AZ74" s="18"/>
      <c r="BA74" s="16"/>
      <c r="BB74" s="16"/>
      <c r="BC74" s="16"/>
      <c r="BD74" s="16"/>
      <c r="BE74" s="10"/>
      <c r="BF74" s="10"/>
      <c r="BG74" s="235"/>
    </row>
    <row r="75" spans="1:59" s="35" customFormat="1" ht="15.75" customHeight="1" x14ac:dyDescent="0.25">
      <c r="A75" s="47">
        <v>74</v>
      </c>
      <c r="B75" s="286">
        <v>45871</v>
      </c>
      <c r="C75" s="287" t="s">
        <v>297</v>
      </c>
      <c r="D75" s="287" t="s">
        <v>16</v>
      </c>
      <c r="E75" s="287" t="s">
        <v>3</v>
      </c>
      <c r="F75" s="287" t="s">
        <v>17</v>
      </c>
      <c r="G75" s="287" t="s">
        <v>171</v>
      </c>
      <c r="H75" s="275">
        <v>702</v>
      </c>
      <c r="I75" s="287" t="s">
        <v>230</v>
      </c>
      <c r="J75" s="31">
        <v>0</v>
      </c>
      <c r="K75" s="316">
        <v>0</v>
      </c>
      <c r="L75" s="316">
        <v>0</v>
      </c>
      <c r="M75" s="316">
        <v>0</v>
      </c>
      <c r="N75" s="316">
        <v>0</v>
      </c>
      <c r="O75" s="316">
        <v>0</v>
      </c>
      <c r="P75" s="316">
        <v>0</v>
      </c>
      <c r="Q75" s="316"/>
      <c r="R75" s="12">
        <f t="shared" si="20"/>
        <v>0</v>
      </c>
      <c r="S75" s="32">
        <f t="shared" si="22"/>
        <v>0</v>
      </c>
      <c r="T75" s="32">
        <f t="shared" si="19"/>
        <v>0</v>
      </c>
      <c r="U75" s="33">
        <v>53</v>
      </c>
      <c r="V75" s="316">
        <v>100</v>
      </c>
      <c r="W75" s="316"/>
      <c r="X75" s="316"/>
      <c r="Y75" s="316"/>
      <c r="Z75" s="316"/>
      <c r="AA75" s="316"/>
      <c r="AB75" s="316"/>
      <c r="AC75" s="316"/>
      <c r="AD75" s="316"/>
      <c r="AE75" s="97"/>
      <c r="AF75" s="316"/>
      <c r="AG75" s="316">
        <f t="shared" si="23"/>
        <v>0</v>
      </c>
      <c r="AH75" s="316"/>
      <c r="AI75" s="316"/>
      <c r="AJ75" s="316"/>
      <c r="AK75" s="317">
        <f t="shared" si="21"/>
        <v>100</v>
      </c>
      <c r="AL75" s="32">
        <f t="shared" ref="AL75:AL91" si="24">AK75*U75</f>
        <v>5300</v>
      </c>
      <c r="AM75" s="32">
        <f t="shared" si="18"/>
        <v>5300</v>
      </c>
      <c r="AN75" s="32">
        <f t="shared" si="17"/>
        <v>5300</v>
      </c>
      <c r="AO75" s="33"/>
      <c r="AP75" s="47"/>
      <c r="AQ75" s="10">
        <v>0</v>
      </c>
      <c r="AR75" s="10">
        <v>0</v>
      </c>
      <c r="AS75" s="16">
        <v>0</v>
      </c>
      <c r="AT75" s="16">
        <f>AN75*10%</f>
        <v>530</v>
      </c>
      <c r="AU75" s="16">
        <v>0</v>
      </c>
      <c r="AV75" s="16"/>
      <c r="AW75" s="16">
        <v>0</v>
      </c>
      <c r="AX75" s="16">
        <v>0</v>
      </c>
      <c r="AY75" s="16">
        <v>0</v>
      </c>
      <c r="AZ75" s="18"/>
      <c r="BA75" s="16"/>
      <c r="BB75" s="16"/>
      <c r="BC75" s="16"/>
      <c r="BD75" s="16"/>
      <c r="BE75" s="16"/>
      <c r="BF75" s="16"/>
      <c r="BG75" s="235"/>
    </row>
    <row r="76" spans="1:59" s="35" customFormat="1" x14ac:dyDescent="0.25">
      <c r="A76" s="47">
        <v>75</v>
      </c>
      <c r="B76" s="286">
        <v>45876</v>
      </c>
      <c r="C76" s="287" t="s">
        <v>298</v>
      </c>
      <c r="D76" s="287" t="s">
        <v>299</v>
      </c>
      <c r="E76" s="287" t="s">
        <v>74</v>
      </c>
      <c r="F76" s="287" t="s">
        <v>15</v>
      </c>
      <c r="G76" s="287" t="s">
        <v>171</v>
      </c>
      <c r="H76" s="275">
        <v>676</v>
      </c>
      <c r="I76" s="287"/>
      <c r="J76" s="31"/>
      <c r="K76" s="316">
        <v>0</v>
      </c>
      <c r="L76" s="316">
        <v>0</v>
      </c>
      <c r="M76" s="316">
        <v>0</v>
      </c>
      <c r="N76" s="316">
        <v>0</v>
      </c>
      <c r="O76" s="316">
        <v>0</v>
      </c>
      <c r="P76" s="316">
        <v>0</v>
      </c>
      <c r="Q76" s="316"/>
      <c r="R76" s="12">
        <f t="shared" si="20"/>
        <v>0</v>
      </c>
      <c r="S76" s="32">
        <f t="shared" si="22"/>
        <v>0</v>
      </c>
      <c r="T76" s="32">
        <f t="shared" si="19"/>
        <v>0</v>
      </c>
      <c r="U76" s="33">
        <f>20*3</f>
        <v>60</v>
      </c>
      <c r="V76" s="316">
        <v>39</v>
      </c>
      <c r="W76" s="316"/>
      <c r="X76" s="316">
        <f>630+350</f>
        <v>980</v>
      </c>
      <c r="Y76" s="316"/>
      <c r="Z76" s="316"/>
      <c r="AA76" s="316"/>
      <c r="AB76" s="316"/>
      <c r="AC76" s="316"/>
      <c r="AD76" s="316"/>
      <c r="AE76" s="97"/>
      <c r="AF76" s="316"/>
      <c r="AG76" s="316">
        <f t="shared" si="23"/>
        <v>0</v>
      </c>
      <c r="AH76" s="316"/>
      <c r="AI76" s="316"/>
      <c r="AJ76" s="316"/>
      <c r="AK76" s="317">
        <f t="shared" si="21"/>
        <v>39</v>
      </c>
      <c r="AL76" s="32">
        <f t="shared" si="24"/>
        <v>2340</v>
      </c>
      <c r="AM76" s="32">
        <f t="shared" si="18"/>
        <v>3320</v>
      </c>
      <c r="AN76" s="32">
        <f t="shared" si="17"/>
        <v>3320</v>
      </c>
      <c r="AO76" s="33"/>
      <c r="AP76" s="47"/>
      <c r="AQ76" s="10">
        <v>0</v>
      </c>
      <c r="AR76" s="10">
        <v>0</v>
      </c>
      <c r="AS76" s="16">
        <v>0</v>
      </c>
      <c r="AT76" s="16">
        <v>0</v>
      </c>
      <c r="AU76" s="16">
        <v>0</v>
      </c>
      <c r="AV76" s="29">
        <f>AN76*10%</f>
        <v>332</v>
      </c>
      <c r="AW76" s="16">
        <v>0</v>
      </c>
      <c r="AX76" s="16">
        <v>0</v>
      </c>
      <c r="AY76" s="16">
        <v>0</v>
      </c>
      <c r="AZ76" s="18"/>
      <c r="BA76" s="16"/>
      <c r="BB76" s="16"/>
      <c r="BC76" s="16"/>
      <c r="BD76" s="16"/>
      <c r="BE76" s="10"/>
      <c r="BF76" s="10"/>
      <c r="BG76" s="235"/>
    </row>
    <row r="77" spans="1:59" s="35" customFormat="1" x14ac:dyDescent="0.25">
      <c r="A77" s="47">
        <v>76</v>
      </c>
      <c r="B77" s="286">
        <v>45877</v>
      </c>
      <c r="C77" s="287" t="s">
        <v>300</v>
      </c>
      <c r="D77" s="287" t="s">
        <v>301</v>
      </c>
      <c r="E77" s="287" t="s">
        <v>3</v>
      </c>
      <c r="F77" s="287" t="s">
        <v>217</v>
      </c>
      <c r="G77" s="287" t="s">
        <v>171</v>
      </c>
      <c r="H77" s="275">
        <v>698</v>
      </c>
      <c r="I77" s="287"/>
      <c r="J77" s="31"/>
      <c r="K77" s="316">
        <v>0</v>
      </c>
      <c r="L77" s="316">
        <v>0</v>
      </c>
      <c r="M77" s="316">
        <v>0</v>
      </c>
      <c r="N77" s="316">
        <v>0</v>
      </c>
      <c r="O77" s="316">
        <v>0</v>
      </c>
      <c r="P77" s="316">
        <v>0</v>
      </c>
      <c r="Q77" s="316">
        <v>16</v>
      </c>
      <c r="R77" s="12">
        <f t="shared" si="20"/>
        <v>0</v>
      </c>
      <c r="S77" s="32">
        <f>(K77+L77+Q77)*U77</f>
        <v>4000</v>
      </c>
      <c r="T77" s="32">
        <f t="shared" si="19"/>
        <v>4000</v>
      </c>
      <c r="U77" s="33">
        <v>250</v>
      </c>
      <c r="V77" s="31">
        <v>0</v>
      </c>
      <c r="W77" s="31">
        <v>14</v>
      </c>
      <c r="X77" s="31">
        <v>1500</v>
      </c>
      <c r="Y77" s="31"/>
      <c r="Z77" s="31"/>
      <c r="AA77" s="31"/>
      <c r="AB77" s="31"/>
      <c r="AC77" s="31"/>
      <c r="AD77" s="31"/>
      <c r="AE77" s="33"/>
      <c r="AF77" s="31"/>
      <c r="AG77" s="316">
        <f t="shared" si="23"/>
        <v>0</v>
      </c>
      <c r="AH77" s="31"/>
      <c r="AI77" s="31"/>
      <c r="AJ77" s="31"/>
      <c r="AK77" s="317">
        <f t="shared" si="21"/>
        <v>14</v>
      </c>
      <c r="AL77" s="32">
        <f t="shared" si="24"/>
        <v>3500</v>
      </c>
      <c r="AM77" s="32">
        <f t="shared" si="18"/>
        <v>5000</v>
      </c>
      <c r="AN77" s="32">
        <f>AM77+T77-100</f>
        <v>8900</v>
      </c>
      <c r="AO77" s="33"/>
      <c r="AP77" s="47"/>
      <c r="AQ77" s="10">
        <v>0</v>
      </c>
      <c r="AR77" s="10">
        <v>0</v>
      </c>
      <c r="AS77" s="16">
        <v>0</v>
      </c>
      <c r="AT77" s="16">
        <v>0</v>
      </c>
      <c r="AU77" s="16">
        <v>0</v>
      </c>
      <c r="AV77" s="16"/>
      <c r="AW77" s="16">
        <v>0</v>
      </c>
      <c r="AX77" s="16">
        <v>0</v>
      </c>
      <c r="AY77" s="16">
        <v>0</v>
      </c>
      <c r="AZ77" s="18"/>
      <c r="BA77" s="16"/>
      <c r="BB77" s="16"/>
      <c r="BC77" s="16"/>
      <c r="BD77" s="16"/>
      <c r="BE77" s="16"/>
      <c r="BF77" s="16"/>
      <c r="BG77" s="235"/>
    </row>
    <row r="78" spans="1:59" s="35" customFormat="1" x14ac:dyDescent="0.25">
      <c r="A78" s="47">
        <v>77</v>
      </c>
      <c r="B78" s="288">
        <v>45878</v>
      </c>
      <c r="C78" s="289" t="s">
        <v>302</v>
      </c>
      <c r="D78" s="289" t="s">
        <v>191</v>
      </c>
      <c r="E78" s="289" t="s">
        <v>74</v>
      </c>
      <c r="F78" s="289" t="s">
        <v>217</v>
      </c>
      <c r="G78" s="289" t="s">
        <v>171</v>
      </c>
      <c r="H78" s="281">
        <v>684</v>
      </c>
      <c r="I78" s="289"/>
      <c r="J78" s="47"/>
      <c r="K78" s="48">
        <v>15</v>
      </c>
      <c r="L78" s="48">
        <v>0</v>
      </c>
      <c r="M78" s="48">
        <v>0</v>
      </c>
      <c r="N78" s="48"/>
      <c r="O78" s="48"/>
      <c r="P78" s="48"/>
      <c r="Q78" s="48"/>
      <c r="R78" s="43">
        <f t="shared" si="20"/>
        <v>15</v>
      </c>
      <c r="S78" s="41">
        <f t="shared" ref="S78:S88" si="25">(K78+L78)*U78</f>
        <v>5250</v>
      </c>
      <c r="T78" s="32">
        <f t="shared" si="19"/>
        <v>5250</v>
      </c>
      <c r="U78" s="49">
        <v>350</v>
      </c>
      <c r="V78" s="47">
        <v>89</v>
      </c>
      <c r="W78" s="47"/>
      <c r="X78" s="47">
        <v>4350</v>
      </c>
      <c r="Y78" s="47"/>
      <c r="Z78" s="47"/>
      <c r="AA78" s="47">
        <v>1000</v>
      </c>
      <c r="AB78" s="47"/>
      <c r="AC78" s="47"/>
      <c r="AD78" s="47"/>
      <c r="AE78" s="49"/>
      <c r="AF78" s="48"/>
      <c r="AG78" s="34">
        <f t="shared" si="23"/>
        <v>0</v>
      </c>
      <c r="AH78" s="48"/>
      <c r="AI78" s="48"/>
      <c r="AJ78" s="48">
        <f>10423-T78</f>
        <v>5173</v>
      </c>
      <c r="AK78" s="317">
        <f t="shared" si="21"/>
        <v>89</v>
      </c>
      <c r="AL78" s="41">
        <f t="shared" si="24"/>
        <v>31150</v>
      </c>
      <c r="AM78" s="32">
        <f t="shared" si="18"/>
        <v>41673</v>
      </c>
      <c r="AN78" s="32">
        <f t="shared" ref="AN78:AN91" si="26">AM78+T78</f>
        <v>46923</v>
      </c>
      <c r="AO78" s="49"/>
      <c r="AP78" s="47"/>
      <c r="AQ78" s="45">
        <v>0</v>
      </c>
      <c r="AR78" s="45">
        <v>0</v>
      </c>
      <c r="AS78" s="48">
        <v>0</v>
      </c>
      <c r="AT78" s="48">
        <v>0</v>
      </c>
      <c r="AU78" s="48">
        <v>0</v>
      </c>
      <c r="AV78" s="84">
        <f>AN78*10%</f>
        <v>4692.3</v>
      </c>
      <c r="AW78" s="48">
        <v>0</v>
      </c>
      <c r="AX78" s="48">
        <v>0</v>
      </c>
      <c r="AY78" s="48">
        <v>0</v>
      </c>
      <c r="AZ78" s="47"/>
      <c r="BA78" s="48"/>
      <c r="BB78" s="48"/>
      <c r="BC78" s="48"/>
      <c r="BD78" s="48"/>
      <c r="BE78" s="45"/>
      <c r="BF78" s="45"/>
      <c r="BG78" s="48"/>
    </row>
    <row r="79" spans="1:59" x14ac:dyDescent="0.25">
      <c r="A79" s="47">
        <v>78</v>
      </c>
      <c r="B79" s="286">
        <v>45882</v>
      </c>
      <c r="C79" s="287" t="s">
        <v>303</v>
      </c>
      <c r="D79" s="287" t="s">
        <v>304</v>
      </c>
      <c r="E79" s="287" t="s">
        <v>14</v>
      </c>
      <c r="F79" s="287" t="s">
        <v>15</v>
      </c>
      <c r="G79" s="287" t="s">
        <v>305</v>
      </c>
      <c r="H79" s="275">
        <v>706</v>
      </c>
      <c r="I79" s="287" t="s">
        <v>13</v>
      </c>
      <c r="J79" s="31"/>
      <c r="K79" s="316">
        <v>0</v>
      </c>
      <c r="L79" s="316">
        <v>0</v>
      </c>
      <c r="M79" s="316">
        <v>0</v>
      </c>
      <c r="N79" s="316">
        <v>0</v>
      </c>
      <c r="O79" s="316">
        <v>0</v>
      </c>
      <c r="P79" s="316">
        <v>0</v>
      </c>
      <c r="Q79" s="316"/>
      <c r="R79" s="12">
        <f t="shared" si="20"/>
        <v>0</v>
      </c>
      <c r="S79" s="32">
        <f t="shared" si="25"/>
        <v>0</v>
      </c>
      <c r="T79" s="32">
        <f t="shared" si="19"/>
        <v>0</v>
      </c>
      <c r="U79" s="33">
        <v>1000</v>
      </c>
      <c r="V79" s="316">
        <v>27</v>
      </c>
      <c r="W79" s="316">
        <v>0</v>
      </c>
      <c r="X79" s="316">
        <v>3000</v>
      </c>
      <c r="Y79" s="316"/>
      <c r="Z79" s="316"/>
      <c r="AA79" s="316"/>
      <c r="AB79" s="316"/>
      <c r="AC79" s="316">
        <f>2*500+2*500+5370+11.4*600</f>
        <v>14210</v>
      </c>
      <c r="AD79" s="316"/>
      <c r="AE79" s="97"/>
      <c r="AF79" s="316"/>
      <c r="AG79" s="316">
        <f t="shared" si="23"/>
        <v>0</v>
      </c>
      <c r="AH79" s="316"/>
      <c r="AI79" s="316"/>
      <c r="AJ79" s="316">
        <v>3844.35</v>
      </c>
      <c r="AK79" s="317">
        <f t="shared" si="21"/>
        <v>27</v>
      </c>
      <c r="AL79" s="32">
        <f t="shared" si="24"/>
        <v>27000</v>
      </c>
      <c r="AM79" s="32">
        <f t="shared" si="18"/>
        <v>48054.35</v>
      </c>
      <c r="AN79" s="32">
        <f t="shared" si="26"/>
        <v>48054.35</v>
      </c>
      <c r="AO79" s="33"/>
      <c r="AP79" s="216"/>
      <c r="AQ79" s="10">
        <v>0</v>
      </c>
      <c r="AR79" s="10">
        <v>0</v>
      </c>
      <c r="AS79" s="16">
        <v>0</v>
      </c>
      <c r="AT79" s="16">
        <v>0</v>
      </c>
      <c r="AU79" s="16">
        <v>0</v>
      </c>
      <c r="AV79" s="29">
        <f>AN79*10%</f>
        <v>4805.4350000000004</v>
      </c>
      <c r="AW79" s="16">
        <v>0</v>
      </c>
      <c r="AX79" s="16">
        <v>0</v>
      </c>
      <c r="AY79" s="16">
        <v>0</v>
      </c>
      <c r="AZ79" s="18"/>
      <c r="BA79" s="16"/>
      <c r="BB79" s="16"/>
      <c r="BC79" s="16"/>
      <c r="BD79" s="16"/>
      <c r="BE79" s="16"/>
      <c r="BF79" s="16"/>
      <c r="BG79" s="235"/>
    </row>
    <row r="80" spans="1:59" x14ac:dyDescent="0.25">
      <c r="A80" s="47">
        <v>79</v>
      </c>
      <c r="B80" s="286">
        <v>45892</v>
      </c>
      <c r="C80" s="287" t="s">
        <v>307</v>
      </c>
      <c r="D80" s="287" t="s">
        <v>79</v>
      </c>
      <c r="E80" s="287" t="s">
        <v>11</v>
      </c>
      <c r="F80" s="287" t="s">
        <v>17</v>
      </c>
      <c r="G80" s="287" t="s">
        <v>171</v>
      </c>
      <c r="H80" s="275">
        <v>679</v>
      </c>
      <c r="I80" s="287" t="s">
        <v>308</v>
      </c>
      <c r="J80" s="31"/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/>
      <c r="R80" s="12">
        <f t="shared" si="20"/>
        <v>0</v>
      </c>
      <c r="S80" s="32">
        <f t="shared" si="25"/>
        <v>0</v>
      </c>
      <c r="T80" s="32">
        <f t="shared" si="19"/>
        <v>0</v>
      </c>
      <c r="U80" s="33">
        <v>80</v>
      </c>
      <c r="V80" s="31">
        <v>90</v>
      </c>
      <c r="W80" s="31">
        <v>0</v>
      </c>
      <c r="X80" s="31">
        <v>800</v>
      </c>
      <c r="Y80" s="31"/>
      <c r="Z80" s="31"/>
      <c r="AA80" s="31"/>
      <c r="AB80" s="31"/>
      <c r="AC80" s="31"/>
      <c r="AD80" s="31"/>
      <c r="AE80" s="33"/>
      <c r="AF80" s="316"/>
      <c r="AG80" s="34">
        <f t="shared" si="23"/>
        <v>0</v>
      </c>
      <c r="AH80" s="316"/>
      <c r="AI80" s="316"/>
      <c r="AJ80" s="316"/>
      <c r="AK80" s="317">
        <f t="shared" si="21"/>
        <v>90</v>
      </c>
      <c r="AL80" s="32">
        <f t="shared" si="24"/>
        <v>7200</v>
      </c>
      <c r="AM80" s="32">
        <f t="shared" si="18"/>
        <v>8000</v>
      </c>
      <c r="AN80" s="32">
        <f t="shared" si="26"/>
        <v>8000</v>
      </c>
      <c r="AO80" s="33"/>
      <c r="AP80" s="216"/>
      <c r="AQ80" s="10">
        <f>AN80*10%</f>
        <v>800</v>
      </c>
      <c r="AR80" s="10">
        <v>0</v>
      </c>
      <c r="AS80" s="16">
        <v>0</v>
      </c>
      <c r="AT80" s="16">
        <v>0</v>
      </c>
      <c r="AU80" s="16">
        <v>0</v>
      </c>
      <c r="AV80" s="16"/>
      <c r="AW80" s="16">
        <v>0</v>
      </c>
      <c r="AX80" s="16">
        <v>0</v>
      </c>
      <c r="AY80" s="16">
        <v>0</v>
      </c>
      <c r="AZ80" s="18"/>
      <c r="BA80" s="16"/>
      <c r="BB80" s="16"/>
      <c r="BC80" s="16"/>
      <c r="BD80" s="16"/>
      <c r="BE80" s="10"/>
      <c r="BF80" s="10"/>
      <c r="BG80" s="235"/>
    </row>
    <row r="81" spans="1:59" s="35" customFormat="1" x14ac:dyDescent="0.25">
      <c r="A81" s="47">
        <v>80</v>
      </c>
      <c r="B81" s="81">
        <v>45892</v>
      </c>
      <c r="C81" s="82" t="s">
        <v>311</v>
      </c>
      <c r="D81" s="82" t="s">
        <v>221</v>
      </c>
      <c r="E81" s="82" t="s">
        <v>11</v>
      </c>
      <c r="F81" s="82" t="s">
        <v>17</v>
      </c>
      <c r="G81" s="82" t="s">
        <v>171</v>
      </c>
      <c r="H81" s="109">
        <v>693</v>
      </c>
      <c r="I81" s="82" t="s">
        <v>306</v>
      </c>
      <c r="J81" s="62"/>
      <c r="K81" s="320"/>
      <c r="L81" s="320"/>
      <c r="M81" s="320"/>
      <c r="N81" s="320"/>
      <c r="O81" s="320"/>
      <c r="P81" s="320"/>
      <c r="Q81" s="320"/>
      <c r="R81" s="12">
        <f t="shared" si="20"/>
        <v>0</v>
      </c>
      <c r="S81" s="26">
        <f t="shared" si="25"/>
        <v>0</v>
      </c>
      <c r="T81" s="26">
        <f t="shared" si="19"/>
        <v>0</v>
      </c>
      <c r="U81" s="25">
        <v>90</v>
      </c>
      <c r="V81" s="62">
        <v>89</v>
      </c>
      <c r="W81" s="62">
        <v>20</v>
      </c>
      <c r="X81" s="62"/>
      <c r="Y81" s="62"/>
      <c r="Z81" s="62"/>
      <c r="AA81" s="62"/>
      <c r="AB81" s="62"/>
      <c r="AC81" s="62"/>
      <c r="AD81" s="62"/>
      <c r="AE81" s="25"/>
      <c r="AF81" s="62"/>
      <c r="AG81" s="321">
        <f t="shared" si="23"/>
        <v>0</v>
      </c>
      <c r="AH81" s="62"/>
      <c r="AI81" s="62"/>
      <c r="AJ81" s="62"/>
      <c r="AK81" s="317">
        <f t="shared" si="21"/>
        <v>109</v>
      </c>
      <c r="AL81" s="262">
        <f t="shared" si="24"/>
        <v>9810</v>
      </c>
      <c r="AM81" s="22">
        <f t="shared" si="18"/>
        <v>9810</v>
      </c>
      <c r="AN81" s="79">
        <f t="shared" si="26"/>
        <v>9810</v>
      </c>
      <c r="AO81" s="25"/>
      <c r="AP81" s="47"/>
      <c r="AQ81" s="10">
        <v>0</v>
      </c>
      <c r="AR81" s="10">
        <v>0</v>
      </c>
      <c r="AS81" s="16">
        <v>0</v>
      </c>
      <c r="AT81" s="16">
        <v>0</v>
      </c>
      <c r="AU81" s="16">
        <v>0</v>
      </c>
      <c r="AV81" s="16"/>
      <c r="AW81" s="16">
        <v>0</v>
      </c>
      <c r="AX81" s="16">
        <v>0</v>
      </c>
      <c r="AY81" s="16">
        <v>0</v>
      </c>
      <c r="AZ81" s="18"/>
      <c r="BA81" s="16"/>
      <c r="BB81" s="16"/>
      <c r="BC81" s="16"/>
      <c r="BD81" s="16"/>
      <c r="BE81" s="16"/>
      <c r="BF81" s="16"/>
      <c r="BG81" s="235"/>
    </row>
    <row r="82" spans="1:59" x14ac:dyDescent="0.25">
      <c r="A82" s="47">
        <v>81</v>
      </c>
      <c r="B82" s="81">
        <v>45892</v>
      </c>
      <c r="C82" s="82" t="s">
        <v>309</v>
      </c>
      <c r="D82" s="82" t="s">
        <v>16</v>
      </c>
      <c r="E82" s="82" t="s">
        <v>11</v>
      </c>
      <c r="F82" s="82" t="s">
        <v>17</v>
      </c>
      <c r="G82" s="82" t="s">
        <v>171</v>
      </c>
      <c r="H82" s="109">
        <v>712</v>
      </c>
      <c r="I82" s="82" t="s">
        <v>310</v>
      </c>
      <c r="J82" s="62"/>
      <c r="K82" s="320">
        <v>0</v>
      </c>
      <c r="L82" s="320">
        <v>0</v>
      </c>
      <c r="M82" s="320">
        <v>0</v>
      </c>
      <c r="N82" s="320">
        <v>0</v>
      </c>
      <c r="O82" s="320">
        <v>0</v>
      </c>
      <c r="P82" s="320">
        <v>0</v>
      </c>
      <c r="Q82" s="320">
        <v>0</v>
      </c>
      <c r="R82" s="12">
        <f t="shared" si="20"/>
        <v>0</v>
      </c>
      <c r="S82" s="26">
        <f t="shared" si="25"/>
        <v>0</v>
      </c>
      <c r="T82" s="26">
        <f t="shared" si="19"/>
        <v>0</v>
      </c>
      <c r="U82" s="25">
        <v>150</v>
      </c>
      <c r="V82" s="62">
        <v>80</v>
      </c>
      <c r="W82" s="62"/>
      <c r="X82" s="62">
        <f>1050+1750+3000</f>
        <v>5800</v>
      </c>
      <c r="Y82" s="62"/>
      <c r="Z82" s="62"/>
      <c r="AA82" s="62"/>
      <c r="AB82" s="62"/>
      <c r="AC82" s="62"/>
      <c r="AD82" s="62"/>
      <c r="AE82" s="25"/>
      <c r="AF82" s="62"/>
      <c r="AG82" s="321">
        <f t="shared" si="23"/>
        <v>0</v>
      </c>
      <c r="AH82" s="62"/>
      <c r="AI82" s="62"/>
      <c r="AJ82" s="62"/>
      <c r="AK82" s="317">
        <f t="shared" si="21"/>
        <v>80</v>
      </c>
      <c r="AL82" s="262">
        <f t="shared" si="24"/>
        <v>12000</v>
      </c>
      <c r="AM82" s="22">
        <f t="shared" si="18"/>
        <v>17800</v>
      </c>
      <c r="AN82" s="79">
        <f t="shared" si="26"/>
        <v>17800</v>
      </c>
      <c r="AO82" s="25"/>
      <c r="AP82" s="216"/>
      <c r="AQ82" s="10"/>
      <c r="AR82" s="10">
        <v>0</v>
      </c>
      <c r="AS82" s="16">
        <v>0</v>
      </c>
      <c r="AT82" s="16">
        <f>AN82*10%</f>
        <v>1780</v>
      </c>
      <c r="AU82" s="16">
        <v>0</v>
      </c>
      <c r="AV82" s="16"/>
      <c r="AW82" s="16">
        <v>0</v>
      </c>
      <c r="AX82" s="16">
        <v>0</v>
      </c>
      <c r="AY82" s="16">
        <v>0</v>
      </c>
      <c r="AZ82" s="18"/>
      <c r="BA82" s="16"/>
      <c r="BB82" s="16"/>
      <c r="BC82" s="16"/>
      <c r="BD82" s="16"/>
      <c r="BE82" s="10"/>
      <c r="BF82" s="10"/>
      <c r="BG82" s="235"/>
    </row>
    <row r="83" spans="1:59" s="35" customFormat="1" x14ac:dyDescent="0.25">
      <c r="A83" s="47">
        <v>82</v>
      </c>
      <c r="B83" s="288">
        <v>45893</v>
      </c>
      <c r="C83" s="289" t="s">
        <v>312</v>
      </c>
      <c r="D83" s="289" t="s">
        <v>16</v>
      </c>
      <c r="E83" s="289" t="s">
        <v>3</v>
      </c>
      <c r="F83" s="289" t="s">
        <v>17</v>
      </c>
      <c r="G83" s="289" t="s">
        <v>171</v>
      </c>
      <c r="H83" s="281">
        <v>715</v>
      </c>
      <c r="I83" s="289"/>
      <c r="J83" s="47"/>
      <c r="K83" s="48">
        <v>0</v>
      </c>
      <c r="L83" s="48">
        <v>0</v>
      </c>
      <c r="M83" s="48">
        <v>0</v>
      </c>
      <c r="N83" s="48">
        <v>0</v>
      </c>
      <c r="O83" s="48">
        <v>0</v>
      </c>
      <c r="P83" s="48">
        <v>0</v>
      </c>
      <c r="Q83" s="48">
        <v>0</v>
      </c>
      <c r="R83" s="43">
        <f t="shared" si="20"/>
        <v>0</v>
      </c>
      <c r="S83" s="32">
        <f t="shared" si="25"/>
        <v>0</v>
      </c>
      <c r="T83" s="32">
        <f t="shared" si="19"/>
        <v>0</v>
      </c>
      <c r="U83" s="49">
        <v>200</v>
      </c>
      <c r="V83" s="47">
        <v>50</v>
      </c>
      <c r="W83" s="47"/>
      <c r="X83" s="47">
        <f>500+1500+500+500</f>
        <v>3000</v>
      </c>
      <c r="Y83" s="47"/>
      <c r="Z83" s="47"/>
      <c r="AA83" s="47"/>
      <c r="AB83" s="47"/>
      <c r="AC83" s="47"/>
      <c r="AD83" s="47"/>
      <c r="AE83" s="49"/>
      <c r="AF83" s="47"/>
      <c r="AG83" s="316">
        <f t="shared" si="23"/>
        <v>0</v>
      </c>
      <c r="AH83" s="47"/>
      <c r="AI83" s="47"/>
      <c r="AJ83" s="47"/>
      <c r="AK83" s="317">
        <f t="shared" si="21"/>
        <v>50</v>
      </c>
      <c r="AL83" s="41">
        <f t="shared" si="24"/>
        <v>10000</v>
      </c>
      <c r="AM83" s="32">
        <f t="shared" si="18"/>
        <v>13000</v>
      </c>
      <c r="AN83" s="32">
        <f t="shared" si="26"/>
        <v>13000</v>
      </c>
      <c r="AO83" s="49"/>
      <c r="AP83" s="47"/>
      <c r="AQ83" s="45"/>
      <c r="AR83" s="45">
        <v>0</v>
      </c>
      <c r="AS83" s="48">
        <v>0</v>
      </c>
      <c r="AT83" s="48">
        <f>AN83*10%</f>
        <v>1300</v>
      </c>
      <c r="AU83" s="48">
        <v>0</v>
      </c>
      <c r="AV83" s="48"/>
      <c r="AW83" s="48">
        <v>0</v>
      </c>
      <c r="AX83" s="48">
        <v>0</v>
      </c>
      <c r="AY83" s="48">
        <v>0</v>
      </c>
      <c r="AZ83" s="47"/>
      <c r="BA83" s="48"/>
      <c r="BB83" s="48"/>
      <c r="BC83" s="48"/>
      <c r="BD83" s="48"/>
      <c r="BE83" s="48"/>
      <c r="BF83" s="48"/>
      <c r="BG83" s="48"/>
    </row>
    <row r="84" spans="1:59" x14ac:dyDescent="0.25">
      <c r="A84" s="47">
        <v>83</v>
      </c>
      <c r="B84" s="286">
        <v>45894</v>
      </c>
      <c r="C84" s="287" t="s">
        <v>313</v>
      </c>
      <c r="D84" s="287" t="s">
        <v>304</v>
      </c>
      <c r="E84" s="287" t="s">
        <v>14</v>
      </c>
      <c r="F84" s="287" t="s">
        <v>15</v>
      </c>
      <c r="G84" s="287" t="s">
        <v>305</v>
      </c>
      <c r="H84" s="275">
        <v>707</v>
      </c>
      <c r="I84" s="287" t="s">
        <v>286</v>
      </c>
      <c r="J84" s="31"/>
      <c r="K84" s="316">
        <v>0</v>
      </c>
      <c r="L84" s="316">
        <v>0</v>
      </c>
      <c r="M84" s="316">
        <v>0</v>
      </c>
      <c r="N84" s="316">
        <v>0</v>
      </c>
      <c r="O84" s="316">
        <v>0</v>
      </c>
      <c r="P84" s="316">
        <v>0</v>
      </c>
      <c r="Q84" s="316"/>
      <c r="R84" s="12">
        <f t="shared" si="20"/>
        <v>0</v>
      </c>
      <c r="S84" s="32">
        <f t="shared" si="25"/>
        <v>0</v>
      </c>
      <c r="T84" s="32">
        <f t="shared" si="19"/>
        <v>0</v>
      </c>
      <c r="U84" s="33">
        <f>600*3</f>
        <v>1800</v>
      </c>
      <c r="V84" s="316">
        <v>11</v>
      </c>
      <c r="W84" s="316"/>
      <c r="X84" s="316">
        <v>3750</v>
      </c>
      <c r="Y84" s="316"/>
      <c r="Z84" s="316"/>
      <c r="AA84" s="316"/>
      <c r="AB84" s="316">
        <v>2000</v>
      </c>
      <c r="AC84" s="316"/>
      <c r="AD84" s="316"/>
      <c r="AE84" s="97"/>
      <c r="AF84" s="316"/>
      <c r="AG84" s="316">
        <f t="shared" si="23"/>
        <v>0</v>
      </c>
      <c r="AH84" s="316"/>
      <c r="AI84" s="316"/>
      <c r="AJ84" s="316"/>
      <c r="AK84" s="317">
        <f t="shared" si="21"/>
        <v>11</v>
      </c>
      <c r="AL84" s="32">
        <f t="shared" si="24"/>
        <v>19800</v>
      </c>
      <c r="AM84" s="32">
        <f t="shared" si="18"/>
        <v>25550</v>
      </c>
      <c r="AN84" s="32">
        <f t="shared" si="26"/>
        <v>25550</v>
      </c>
      <c r="AO84" s="33"/>
      <c r="AP84" s="216"/>
      <c r="AQ84" s="10">
        <v>0</v>
      </c>
      <c r="AR84" s="10">
        <v>0</v>
      </c>
      <c r="AS84" s="16">
        <v>0</v>
      </c>
      <c r="AT84" s="16">
        <v>0</v>
      </c>
      <c r="AU84" s="16">
        <v>0</v>
      </c>
      <c r="AV84" s="29">
        <f>AN84*10%</f>
        <v>2555</v>
      </c>
      <c r="AW84" s="16">
        <v>0</v>
      </c>
      <c r="AX84" s="16">
        <v>0</v>
      </c>
      <c r="AY84" s="16"/>
      <c r="AZ84" s="18"/>
      <c r="BA84" s="16"/>
      <c r="BB84" s="16"/>
      <c r="BC84" s="16"/>
      <c r="BD84" s="16"/>
      <c r="BE84" s="10"/>
      <c r="BF84" s="10"/>
      <c r="BG84" s="235"/>
    </row>
    <row r="85" spans="1:59" s="35" customFormat="1" ht="15.75" customHeight="1" x14ac:dyDescent="0.25">
      <c r="A85" s="47">
        <v>84</v>
      </c>
      <c r="B85" s="300">
        <v>45899</v>
      </c>
      <c r="C85" s="276" t="s">
        <v>316</v>
      </c>
      <c r="D85" s="276" t="s">
        <v>182</v>
      </c>
      <c r="E85" s="276" t="s">
        <v>74</v>
      </c>
      <c r="F85" s="276" t="s">
        <v>276</v>
      </c>
      <c r="G85" s="276" t="s">
        <v>171</v>
      </c>
      <c r="H85" s="276">
        <v>564</v>
      </c>
      <c r="I85" s="276" t="s">
        <v>317</v>
      </c>
      <c r="J85" s="47"/>
      <c r="K85" s="47"/>
      <c r="L85" s="47"/>
      <c r="M85" s="47"/>
      <c r="N85" s="47"/>
      <c r="O85" s="47"/>
      <c r="P85" s="47"/>
      <c r="Q85" s="47"/>
      <c r="R85" s="12">
        <f t="shared" si="20"/>
        <v>0</v>
      </c>
      <c r="S85" s="41">
        <f t="shared" si="25"/>
        <v>0</v>
      </c>
      <c r="T85" s="41">
        <f t="shared" si="19"/>
        <v>0</v>
      </c>
      <c r="U85" s="49">
        <v>100</v>
      </c>
      <c r="V85" s="47">
        <v>40</v>
      </c>
      <c r="W85" s="47"/>
      <c r="X85" s="47"/>
      <c r="Y85" s="47"/>
      <c r="Z85" s="47"/>
      <c r="AA85" s="47"/>
      <c r="AB85" s="47"/>
      <c r="AC85" s="47"/>
      <c r="AD85" s="47"/>
      <c r="AE85" s="49"/>
      <c r="AF85" s="47"/>
      <c r="AG85" s="48">
        <f t="shared" si="23"/>
        <v>0</v>
      </c>
      <c r="AH85" s="47"/>
      <c r="AI85" s="47"/>
      <c r="AJ85" s="47"/>
      <c r="AK85" s="317">
        <f t="shared" si="21"/>
        <v>40</v>
      </c>
      <c r="AL85" s="41">
        <f t="shared" si="24"/>
        <v>4000</v>
      </c>
      <c r="AM85" s="41">
        <f t="shared" si="18"/>
        <v>4000</v>
      </c>
      <c r="AN85" s="41">
        <f t="shared" si="26"/>
        <v>4000</v>
      </c>
      <c r="AO85" s="49"/>
      <c r="AP85" s="47"/>
      <c r="AQ85" s="10">
        <v>0</v>
      </c>
      <c r="AR85" s="10">
        <v>0</v>
      </c>
      <c r="AS85" s="16">
        <v>0</v>
      </c>
      <c r="AT85" s="16">
        <v>0</v>
      </c>
      <c r="AU85" s="16">
        <v>0</v>
      </c>
      <c r="AV85" s="16"/>
      <c r="AW85" s="16">
        <v>0</v>
      </c>
      <c r="AX85" s="16">
        <v>0</v>
      </c>
      <c r="AY85" s="16">
        <v>0</v>
      </c>
      <c r="AZ85" s="18"/>
      <c r="BA85" s="16"/>
      <c r="BB85" s="16"/>
      <c r="BC85" s="16"/>
      <c r="BD85" s="16"/>
      <c r="BE85" s="16"/>
      <c r="BF85" s="16"/>
      <c r="BG85" s="235"/>
    </row>
    <row r="86" spans="1:59" x14ac:dyDescent="0.25">
      <c r="A86" s="47">
        <v>85</v>
      </c>
      <c r="B86" s="61">
        <v>45899</v>
      </c>
      <c r="C86" s="62" t="s">
        <v>314</v>
      </c>
      <c r="D86" s="62" t="s">
        <v>70</v>
      </c>
      <c r="E86" s="62" t="s">
        <v>11</v>
      </c>
      <c r="F86" s="62" t="s">
        <v>17</v>
      </c>
      <c r="G86" s="62" t="s">
        <v>171</v>
      </c>
      <c r="H86" s="62">
        <v>721</v>
      </c>
      <c r="I86" s="62" t="s">
        <v>315</v>
      </c>
      <c r="J86" s="62"/>
      <c r="K86" s="320">
        <v>0</v>
      </c>
      <c r="L86" s="320">
        <v>0</v>
      </c>
      <c r="M86" s="320">
        <v>0</v>
      </c>
      <c r="N86" s="320">
        <v>0</v>
      </c>
      <c r="O86" s="320">
        <v>0</v>
      </c>
      <c r="P86" s="320">
        <v>0</v>
      </c>
      <c r="Q86" s="320">
        <v>0</v>
      </c>
      <c r="R86" s="12">
        <f t="shared" si="20"/>
        <v>0</v>
      </c>
      <c r="S86" s="262">
        <f t="shared" si="25"/>
        <v>0</v>
      </c>
      <c r="T86" s="262">
        <f t="shared" si="19"/>
        <v>0</v>
      </c>
      <c r="U86" s="25">
        <v>63</v>
      </c>
      <c r="V86" s="62">
        <v>80</v>
      </c>
      <c r="W86" s="62"/>
      <c r="X86" s="62">
        <v>750</v>
      </c>
      <c r="Y86" s="62"/>
      <c r="Z86" s="62"/>
      <c r="AA86" s="62"/>
      <c r="AB86" s="62"/>
      <c r="AC86" s="62"/>
      <c r="AD86" s="62"/>
      <c r="AE86" s="25"/>
      <c r="AF86" s="62"/>
      <c r="AG86" s="321">
        <f t="shared" si="23"/>
        <v>0</v>
      </c>
      <c r="AH86" s="62"/>
      <c r="AI86" s="62"/>
      <c r="AJ86" s="62"/>
      <c r="AK86" s="317">
        <f t="shared" si="21"/>
        <v>80</v>
      </c>
      <c r="AL86" s="262">
        <f t="shared" si="24"/>
        <v>5040</v>
      </c>
      <c r="AM86" s="22">
        <f t="shared" si="18"/>
        <v>5790</v>
      </c>
      <c r="AN86" s="79">
        <f t="shared" si="26"/>
        <v>5790</v>
      </c>
      <c r="AO86" s="25"/>
      <c r="AP86" s="216"/>
      <c r="AQ86" s="10"/>
      <c r="AR86" s="10">
        <v>0</v>
      </c>
      <c r="AS86" s="16">
        <v>0</v>
      </c>
      <c r="AT86" s="16">
        <v>0</v>
      </c>
      <c r="AU86" s="16">
        <f>AN86*10%</f>
        <v>579</v>
      </c>
      <c r="AV86" s="16"/>
      <c r="AW86" s="16">
        <v>0</v>
      </c>
      <c r="AX86" s="16">
        <v>0</v>
      </c>
      <c r="AY86" s="16">
        <v>0</v>
      </c>
      <c r="AZ86" s="18"/>
      <c r="BA86" s="16"/>
      <c r="BB86" s="16"/>
      <c r="BC86" s="16"/>
      <c r="BD86" s="16"/>
      <c r="BE86" s="10"/>
      <c r="BF86" s="10"/>
      <c r="BG86" s="235"/>
    </row>
    <row r="87" spans="1:59" s="35" customFormat="1" x14ac:dyDescent="0.25">
      <c r="A87" s="47">
        <v>86</v>
      </c>
      <c r="B87" s="300">
        <v>45905</v>
      </c>
      <c r="C87" s="276" t="s">
        <v>318</v>
      </c>
      <c r="D87" s="276" t="s">
        <v>319</v>
      </c>
      <c r="E87" s="276" t="s">
        <v>3</v>
      </c>
      <c r="F87" s="276" t="s">
        <v>276</v>
      </c>
      <c r="G87" s="276" t="s">
        <v>171</v>
      </c>
      <c r="H87" s="281">
        <v>705</v>
      </c>
      <c r="I87" s="276" t="s">
        <v>13</v>
      </c>
      <c r="J87" s="47"/>
      <c r="K87" s="48"/>
      <c r="L87" s="48"/>
      <c r="M87" s="48"/>
      <c r="N87" s="48"/>
      <c r="O87" s="48"/>
      <c r="P87" s="48"/>
      <c r="Q87" s="48"/>
      <c r="R87" s="43">
        <f t="shared" si="20"/>
        <v>0</v>
      </c>
      <c r="S87" s="41">
        <f t="shared" si="25"/>
        <v>0</v>
      </c>
      <c r="T87" s="41">
        <f t="shared" si="19"/>
        <v>0</v>
      </c>
      <c r="U87" s="49">
        <v>650</v>
      </c>
      <c r="V87" s="47">
        <v>139</v>
      </c>
      <c r="W87" s="47"/>
      <c r="X87" s="47">
        <f>7500+7500+2500+1500+2400</f>
        <v>21400</v>
      </c>
      <c r="Y87" s="47"/>
      <c r="Z87" s="47"/>
      <c r="AA87" s="47">
        <f>10*280</f>
        <v>2800</v>
      </c>
      <c r="AB87" s="47"/>
      <c r="AC87" s="47"/>
      <c r="AD87" s="47"/>
      <c r="AE87" s="49">
        <v>50</v>
      </c>
      <c r="AF87" s="47">
        <v>179</v>
      </c>
      <c r="AG87" s="316">
        <f t="shared" si="23"/>
        <v>8950</v>
      </c>
      <c r="AH87" s="47"/>
      <c r="AI87" s="47"/>
      <c r="AJ87" s="47"/>
      <c r="AK87" s="317">
        <f t="shared" si="21"/>
        <v>139</v>
      </c>
      <c r="AL87" s="41">
        <f t="shared" si="24"/>
        <v>90350</v>
      </c>
      <c r="AM87" s="32">
        <f t="shared" si="18"/>
        <v>123500</v>
      </c>
      <c r="AN87" s="32">
        <f t="shared" si="26"/>
        <v>123500</v>
      </c>
      <c r="AO87" s="49"/>
      <c r="AP87" s="47"/>
      <c r="AQ87" s="45">
        <v>0</v>
      </c>
      <c r="AR87" s="45">
        <v>0</v>
      </c>
      <c r="AS87" s="48">
        <v>0</v>
      </c>
      <c r="AT87" s="48">
        <v>0</v>
      </c>
      <c r="AU87" s="48">
        <v>0</v>
      </c>
      <c r="AV87" s="84">
        <f>AN87*10%</f>
        <v>12350</v>
      </c>
      <c r="AW87" s="48">
        <v>0</v>
      </c>
      <c r="AX87" s="48">
        <v>0</v>
      </c>
      <c r="AY87" s="48">
        <v>0</v>
      </c>
      <c r="AZ87" s="47"/>
      <c r="BA87" s="48"/>
      <c r="BB87" s="48"/>
      <c r="BC87" s="48"/>
      <c r="BD87" s="48"/>
      <c r="BE87" s="48"/>
      <c r="BF87" s="48"/>
      <c r="BG87" s="48"/>
    </row>
    <row r="88" spans="1:59" x14ac:dyDescent="0.25">
      <c r="A88" s="47">
        <v>87</v>
      </c>
      <c r="B88" s="75">
        <v>45906</v>
      </c>
      <c r="C88" s="76" t="s">
        <v>320</v>
      </c>
      <c r="D88" s="76" t="s">
        <v>79</v>
      </c>
      <c r="E88" s="76" t="s">
        <v>3</v>
      </c>
      <c r="F88" s="76" t="s">
        <v>9</v>
      </c>
      <c r="G88" s="76" t="s">
        <v>171</v>
      </c>
      <c r="H88" s="109">
        <v>709</v>
      </c>
      <c r="I88" s="76" t="s">
        <v>13</v>
      </c>
      <c r="J88" s="62"/>
      <c r="K88" s="320">
        <v>0</v>
      </c>
      <c r="L88" s="320">
        <v>0</v>
      </c>
      <c r="M88" s="320">
        <v>0</v>
      </c>
      <c r="N88" s="320">
        <v>0</v>
      </c>
      <c r="O88" s="320">
        <v>0</v>
      </c>
      <c r="P88" s="320">
        <v>0</v>
      </c>
      <c r="Q88" s="320"/>
      <c r="R88" s="12">
        <f t="shared" si="20"/>
        <v>0</v>
      </c>
      <c r="S88" s="26">
        <f t="shared" si="25"/>
        <v>0</v>
      </c>
      <c r="T88" s="26">
        <f t="shared" si="19"/>
        <v>0</v>
      </c>
      <c r="U88" s="25">
        <v>1847</v>
      </c>
      <c r="V88" s="320">
        <v>169</v>
      </c>
      <c r="W88" s="320">
        <v>0</v>
      </c>
      <c r="X88" s="320">
        <v>4000</v>
      </c>
      <c r="Y88" s="320"/>
      <c r="Z88" s="320"/>
      <c r="AA88" s="320"/>
      <c r="AB88" s="320"/>
      <c r="AC88" s="320"/>
      <c r="AD88" s="320"/>
      <c r="AE88" s="80">
        <v>41</v>
      </c>
      <c r="AF88" s="320">
        <v>84.5</v>
      </c>
      <c r="AG88" s="321">
        <f t="shared" si="23"/>
        <v>3464.5</v>
      </c>
      <c r="AH88" s="320"/>
      <c r="AI88" s="320"/>
      <c r="AJ88" s="320"/>
      <c r="AK88" s="317">
        <f t="shared" si="21"/>
        <v>169</v>
      </c>
      <c r="AL88" s="262">
        <f t="shared" si="24"/>
        <v>312143</v>
      </c>
      <c r="AM88" s="79">
        <f t="shared" si="18"/>
        <v>319607.5</v>
      </c>
      <c r="AN88" s="79">
        <f t="shared" si="26"/>
        <v>319607.5</v>
      </c>
      <c r="AO88" s="25"/>
      <c r="AP88" s="216"/>
      <c r="AQ88" s="10">
        <f>AN88*10%</f>
        <v>31960.75</v>
      </c>
      <c r="AR88" s="10">
        <v>0</v>
      </c>
      <c r="AS88" s="16">
        <v>0</v>
      </c>
      <c r="AT88" s="16">
        <v>0</v>
      </c>
      <c r="AU88" s="16">
        <v>0</v>
      </c>
      <c r="AV88" s="29">
        <f>AN88*10%</f>
        <v>31960.75</v>
      </c>
      <c r="AW88" s="16">
        <v>0</v>
      </c>
      <c r="AX88" s="16">
        <v>0</v>
      </c>
      <c r="AY88" s="16">
        <v>0</v>
      </c>
      <c r="AZ88" s="18"/>
      <c r="BA88" s="16"/>
      <c r="BB88" s="16"/>
      <c r="BC88" s="16"/>
      <c r="BD88" s="16"/>
      <c r="BE88" s="10"/>
      <c r="BF88" s="10"/>
      <c r="BG88" s="235"/>
    </row>
    <row r="89" spans="1:59" x14ac:dyDescent="0.25">
      <c r="A89" s="47">
        <v>88</v>
      </c>
      <c r="B89" s="61">
        <v>45906</v>
      </c>
      <c r="C89" s="62" t="s">
        <v>329</v>
      </c>
      <c r="D89" s="62" t="s">
        <v>330</v>
      </c>
      <c r="E89" s="62" t="s">
        <v>3</v>
      </c>
      <c r="F89" s="62" t="s">
        <v>257</v>
      </c>
      <c r="G89" s="62" t="s">
        <v>171</v>
      </c>
      <c r="H89" s="62">
        <v>717</v>
      </c>
      <c r="I89" s="62" t="s">
        <v>331</v>
      </c>
      <c r="J89" s="62"/>
      <c r="K89" s="62">
        <v>0</v>
      </c>
      <c r="L89" s="62">
        <v>0</v>
      </c>
      <c r="M89" s="62">
        <v>0</v>
      </c>
      <c r="N89" s="62">
        <v>0</v>
      </c>
      <c r="O89" s="62">
        <v>0</v>
      </c>
      <c r="P89" s="62">
        <v>0</v>
      </c>
      <c r="Q89" s="62">
        <v>0</v>
      </c>
      <c r="R89" s="12">
        <f t="shared" si="20"/>
        <v>0</v>
      </c>
      <c r="S89" s="262">
        <v>0</v>
      </c>
      <c r="T89" s="262">
        <v>0</v>
      </c>
      <c r="U89" s="25">
        <v>100</v>
      </c>
      <c r="V89" s="62">
        <v>0</v>
      </c>
      <c r="W89" s="62"/>
      <c r="X89" s="62">
        <v>0</v>
      </c>
      <c r="Y89" s="62"/>
      <c r="Z89" s="62"/>
      <c r="AA89" s="62"/>
      <c r="AB89" s="62"/>
      <c r="AC89" s="62"/>
      <c r="AD89" s="62"/>
      <c r="AE89" s="49"/>
      <c r="AF89" s="62"/>
      <c r="AG89" s="321">
        <f t="shared" si="23"/>
        <v>0</v>
      </c>
      <c r="AH89" s="62"/>
      <c r="AI89" s="62"/>
      <c r="AJ89" s="62"/>
      <c r="AK89" s="317">
        <f t="shared" si="21"/>
        <v>0</v>
      </c>
      <c r="AL89" s="262">
        <f t="shared" si="24"/>
        <v>0</v>
      </c>
      <c r="AM89" s="22">
        <f t="shared" si="18"/>
        <v>0</v>
      </c>
      <c r="AN89" s="79">
        <f t="shared" si="26"/>
        <v>0</v>
      </c>
      <c r="AO89" s="25"/>
      <c r="AP89" s="216"/>
      <c r="AQ89" s="10">
        <v>0</v>
      </c>
      <c r="AR89" s="10">
        <v>0</v>
      </c>
      <c r="AS89" s="16">
        <v>0</v>
      </c>
      <c r="AT89" s="16">
        <v>0</v>
      </c>
      <c r="AU89" s="16">
        <v>0</v>
      </c>
      <c r="AV89" s="16"/>
      <c r="AW89" s="16">
        <v>0</v>
      </c>
      <c r="AX89" s="16">
        <v>0</v>
      </c>
      <c r="AY89" s="16">
        <v>0</v>
      </c>
      <c r="AZ89" s="18"/>
      <c r="BA89" s="16"/>
      <c r="BB89" s="16"/>
      <c r="BC89" s="16"/>
      <c r="BD89" s="16"/>
      <c r="BE89" s="16"/>
      <c r="BF89" s="16"/>
      <c r="BG89" s="235"/>
    </row>
    <row r="90" spans="1:59" s="35" customFormat="1" x14ac:dyDescent="0.25">
      <c r="A90" s="47">
        <v>89</v>
      </c>
      <c r="B90" s="288">
        <v>45997</v>
      </c>
      <c r="C90" s="289" t="s">
        <v>321</v>
      </c>
      <c r="D90" s="289" t="s">
        <v>16</v>
      </c>
      <c r="E90" s="289" t="s">
        <v>3</v>
      </c>
      <c r="F90" s="289" t="s">
        <v>9</v>
      </c>
      <c r="G90" s="289" t="s">
        <v>171</v>
      </c>
      <c r="H90" s="281">
        <v>670</v>
      </c>
      <c r="I90" s="289" t="s">
        <v>288</v>
      </c>
      <c r="J90" s="47"/>
      <c r="K90" s="48">
        <v>0</v>
      </c>
      <c r="L90" s="48">
        <v>0</v>
      </c>
      <c r="M90" s="48">
        <v>0</v>
      </c>
      <c r="N90" s="48">
        <v>0</v>
      </c>
      <c r="O90" s="48">
        <v>0</v>
      </c>
      <c r="P90" s="48">
        <v>0</v>
      </c>
      <c r="Q90" s="48"/>
      <c r="R90" s="43">
        <f t="shared" si="20"/>
        <v>0</v>
      </c>
      <c r="S90" s="41">
        <f>(K90+L90)*U90</f>
        <v>0</v>
      </c>
      <c r="T90" s="41">
        <f>S90+P90+O90+N90+M90</f>
        <v>0</v>
      </c>
      <c r="U90" s="49">
        <v>800</v>
      </c>
      <c r="V90" s="266">
        <v>120</v>
      </c>
      <c r="W90" s="266">
        <v>0</v>
      </c>
      <c r="X90" s="266">
        <v>20000</v>
      </c>
      <c r="Y90" s="266">
        <v>0</v>
      </c>
      <c r="Z90" s="266">
        <v>0</v>
      </c>
      <c r="AA90" s="266">
        <v>0</v>
      </c>
      <c r="AB90" s="266">
        <v>0</v>
      </c>
      <c r="AC90" s="47"/>
      <c r="AD90" s="47"/>
      <c r="AE90" s="49"/>
      <c r="AF90" s="48"/>
      <c r="AG90" s="34">
        <v>19476</v>
      </c>
      <c r="AH90" s="48"/>
      <c r="AI90" s="48"/>
      <c r="AJ90" s="48" t="s">
        <v>322</v>
      </c>
      <c r="AK90" s="317">
        <f t="shared" si="21"/>
        <v>120</v>
      </c>
      <c r="AL90" s="41">
        <f t="shared" si="24"/>
        <v>96000</v>
      </c>
      <c r="AM90" s="22" t="e">
        <f>AL90+AJ90+AI90+AH90+AG90+AD90+AC90+AB90+AA90+Z90+Y90+X90</f>
        <v>#VALUE!</v>
      </c>
      <c r="AN90" s="41" t="e">
        <f t="shared" si="26"/>
        <v>#VALUE!</v>
      </c>
      <c r="AO90" s="49">
        <f>AE90+U90</f>
        <v>800</v>
      </c>
      <c r="AP90" s="47"/>
      <c r="AQ90" s="45">
        <v>0</v>
      </c>
      <c r="AR90" s="45">
        <v>0</v>
      </c>
      <c r="AS90" s="48">
        <v>0</v>
      </c>
      <c r="AT90" s="48" t="e">
        <f>AN90*10%</f>
        <v>#VALUE!</v>
      </c>
      <c r="AU90" s="48">
        <v>0</v>
      </c>
      <c r="AV90" s="48"/>
      <c r="AW90" s="48">
        <v>0</v>
      </c>
      <c r="AX90" s="48">
        <v>0</v>
      </c>
      <c r="AY90" s="48">
        <v>0</v>
      </c>
      <c r="AZ90" s="47"/>
      <c r="BA90" s="48"/>
      <c r="BB90" s="48"/>
      <c r="BC90" s="48"/>
      <c r="BD90" s="48"/>
      <c r="BE90" s="45"/>
      <c r="BF90" s="45"/>
      <c r="BG90" s="48"/>
    </row>
    <row r="91" spans="1:59" x14ac:dyDescent="0.25">
      <c r="A91" s="47">
        <v>90</v>
      </c>
      <c r="B91" s="81">
        <v>45997</v>
      </c>
      <c r="C91" s="82" t="s">
        <v>323</v>
      </c>
      <c r="D91" s="82" t="s">
        <v>324</v>
      </c>
      <c r="E91" s="82" t="s">
        <v>74</v>
      </c>
      <c r="F91" s="82" t="s">
        <v>9</v>
      </c>
      <c r="G91" s="82" t="s">
        <v>171</v>
      </c>
      <c r="H91" s="109">
        <v>686</v>
      </c>
      <c r="I91" s="82" t="s">
        <v>222</v>
      </c>
      <c r="J91" s="62"/>
      <c r="K91" s="320"/>
      <c r="L91" s="320"/>
      <c r="M91" s="320"/>
      <c r="N91" s="320"/>
      <c r="O91" s="320"/>
      <c r="P91" s="320"/>
      <c r="Q91" s="320"/>
      <c r="R91" s="12">
        <f t="shared" si="20"/>
        <v>0</v>
      </c>
      <c r="S91" s="26">
        <f>(K91+L91)*U91</f>
        <v>0</v>
      </c>
      <c r="T91" s="26">
        <f>S91+P91+O91+N91+M91</f>
        <v>0</v>
      </c>
      <c r="U91" s="25">
        <v>1100</v>
      </c>
      <c r="V91" s="62">
        <v>138</v>
      </c>
      <c r="W91" s="62">
        <v>0</v>
      </c>
      <c r="X91" s="62">
        <v>0</v>
      </c>
      <c r="Y91" s="62"/>
      <c r="Z91" s="62"/>
      <c r="AA91" s="62"/>
      <c r="AB91" s="62"/>
      <c r="AC91" s="62"/>
      <c r="AD91" s="62"/>
      <c r="AE91" s="49"/>
      <c r="AF91" s="62"/>
      <c r="AG91" s="321">
        <f t="shared" si="23"/>
        <v>0</v>
      </c>
      <c r="AH91" s="62"/>
      <c r="AI91" s="62"/>
      <c r="AJ91" s="62"/>
      <c r="AK91" s="317">
        <f t="shared" si="21"/>
        <v>138</v>
      </c>
      <c r="AL91" s="262">
        <f t="shared" si="24"/>
        <v>151800</v>
      </c>
      <c r="AM91" s="22">
        <f t="shared" si="18"/>
        <v>151800</v>
      </c>
      <c r="AN91" s="79">
        <f t="shared" si="26"/>
        <v>151800</v>
      </c>
      <c r="AO91" s="25"/>
      <c r="AP91" s="216"/>
      <c r="AQ91" s="10">
        <v>0</v>
      </c>
      <c r="AR91" s="10">
        <v>0</v>
      </c>
      <c r="AS91" s="16">
        <v>0</v>
      </c>
      <c r="AT91" s="16">
        <v>0</v>
      </c>
      <c r="AU91" s="16">
        <v>0</v>
      </c>
      <c r="AV91" s="29">
        <f>AN91*10%</f>
        <v>15180</v>
      </c>
      <c r="AW91" s="16">
        <v>0</v>
      </c>
      <c r="AX91" s="16">
        <v>0</v>
      </c>
      <c r="AY91" s="16">
        <v>0</v>
      </c>
      <c r="AZ91" s="18"/>
      <c r="BA91" s="16"/>
      <c r="BB91" s="16"/>
      <c r="BC91" s="16"/>
      <c r="BD91" s="16"/>
      <c r="BE91" s="16"/>
      <c r="BF91" s="16"/>
      <c r="BG91" s="235"/>
    </row>
    <row r="92" spans="1:59" x14ac:dyDescent="0.25">
      <c r="A92" s="47">
        <v>91</v>
      </c>
      <c r="B92" s="102">
        <v>46004</v>
      </c>
      <c r="C92" s="103" t="s">
        <v>328</v>
      </c>
      <c r="D92" s="103" t="s">
        <v>79</v>
      </c>
      <c r="E92" s="103" t="s">
        <v>3</v>
      </c>
      <c r="F92" s="103" t="s">
        <v>9</v>
      </c>
      <c r="G92" s="103" t="s">
        <v>181</v>
      </c>
      <c r="H92" s="104">
        <v>649</v>
      </c>
      <c r="I92" s="103"/>
      <c r="J92" s="322"/>
      <c r="K92" s="323"/>
      <c r="L92" s="323"/>
      <c r="M92" s="323"/>
      <c r="N92" s="323"/>
      <c r="O92" s="323"/>
      <c r="P92" s="323"/>
      <c r="Q92" s="323"/>
      <c r="R92" s="12">
        <f t="shared" si="20"/>
        <v>0</v>
      </c>
      <c r="S92" s="79"/>
      <c r="T92" s="79"/>
      <c r="U92" s="105"/>
      <c r="V92" s="322"/>
      <c r="W92" s="322"/>
      <c r="X92" s="322"/>
      <c r="Y92" s="322"/>
      <c r="Z92" s="322"/>
      <c r="AA92" s="322"/>
      <c r="AB92" s="322"/>
      <c r="AC92" s="322"/>
      <c r="AD92" s="322"/>
      <c r="AE92" s="33"/>
      <c r="AF92" s="323"/>
      <c r="AG92" s="106"/>
      <c r="AH92" s="323"/>
      <c r="AI92" s="323"/>
      <c r="AJ92" s="323"/>
      <c r="AK92" s="317">
        <f t="shared" si="21"/>
        <v>0</v>
      </c>
      <c r="AL92" s="79"/>
      <c r="AM92" s="79"/>
      <c r="AN92" s="79"/>
      <c r="AO92" s="105"/>
      <c r="AP92" s="216"/>
      <c r="AQ92" s="29">
        <f>AN92*10%</f>
        <v>0</v>
      </c>
      <c r="AR92" s="10">
        <v>0</v>
      </c>
      <c r="AS92" s="16">
        <v>0</v>
      </c>
      <c r="AT92" s="16">
        <v>0</v>
      </c>
      <c r="AU92" s="16">
        <v>0</v>
      </c>
      <c r="AV92" s="29">
        <f>AN92*10%</f>
        <v>0</v>
      </c>
      <c r="AW92" s="16">
        <v>0</v>
      </c>
      <c r="AX92" s="16">
        <v>0</v>
      </c>
      <c r="AY92" s="16">
        <v>0</v>
      </c>
      <c r="AZ92" s="18"/>
      <c r="BA92" s="16"/>
      <c r="BB92" s="16"/>
      <c r="BC92" s="16"/>
      <c r="BD92" s="16"/>
      <c r="BE92" s="10"/>
      <c r="BF92" s="10"/>
      <c r="BG92" s="235"/>
    </row>
    <row r="93" spans="1:59" x14ac:dyDescent="0.25">
      <c r="A93" s="47">
        <v>92</v>
      </c>
      <c r="B93" s="81">
        <v>46004</v>
      </c>
      <c r="C93" s="82" t="s">
        <v>325</v>
      </c>
      <c r="D93" s="82" t="s">
        <v>79</v>
      </c>
      <c r="E93" s="82" t="s">
        <v>3</v>
      </c>
      <c r="F93" s="82" t="s">
        <v>9</v>
      </c>
      <c r="G93" s="82" t="s">
        <v>171</v>
      </c>
      <c r="H93" s="109">
        <v>710</v>
      </c>
      <c r="I93" s="82" t="s">
        <v>326</v>
      </c>
      <c r="J93" s="62"/>
      <c r="K93" s="320">
        <v>0</v>
      </c>
      <c r="L93" s="320">
        <v>0</v>
      </c>
      <c r="M93" s="320">
        <v>0</v>
      </c>
      <c r="N93" s="320">
        <v>0</v>
      </c>
      <c r="O93" s="320">
        <v>0</v>
      </c>
      <c r="P93" s="320">
        <v>0</v>
      </c>
      <c r="Q93" s="320"/>
      <c r="R93" s="12">
        <f t="shared" si="20"/>
        <v>0</v>
      </c>
      <c r="S93" s="26">
        <f>(K93+L93)*U93</f>
        <v>0</v>
      </c>
      <c r="T93" s="26">
        <f>S93+P93+O93+N93+M93</f>
        <v>0</v>
      </c>
      <c r="U93" s="25">
        <v>700</v>
      </c>
      <c r="V93" s="62">
        <v>120.65</v>
      </c>
      <c r="W93" s="62"/>
      <c r="X93" s="62"/>
      <c r="Y93" s="62"/>
      <c r="Z93" s="62"/>
      <c r="AA93" s="62"/>
      <c r="AB93" s="62"/>
      <c r="AC93" s="62"/>
      <c r="AD93" s="62"/>
      <c r="AE93" s="49"/>
      <c r="AF93" s="62"/>
      <c r="AG93" s="321">
        <f>AE93*AF93</f>
        <v>0</v>
      </c>
      <c r="AH93" s="62"/>
      <c r="AI93" s="324"/>
      <c r="AJ93" s="62"/>
      <c r="AK93" s="317">
        <f t="shared" si="21"/>
        <v>120.65</v>
      </c>
      <c r="AL93" s="262">
        <f>AK93*U93</f>
        <v>84455</v>
      </c>
      <c r="AM93" s="79">
        <f>AL93+AJ93+AI93+AH93+AG93+AD93+AC93+AB93+AA93+Z93+Y93+X93</f>
        <v>84455</v>
      </c>
      <c r="AN93" s="79">
        <f>AM93+T93</f>
        <v>84455</v>
      </c>
      <c r="AO93" s="25"/>
      <c r="AP93" s="216"/>
      <c r="AQ93" s="10">
        <f>AN93*10%</f>
        <v>8445.5</v>
      </c>
      <c r="AR93" s="10">
        <v>0</v>
      </c>
      <c r="AS93" s="16">
        <v>0</v>
      </c>
      <c r="AT93" s="16">
        <v>0</v>
      </c>
      <c r="AU93" s="16">
        <v>0</v>
      </c>
      <c r="AV93" s="16"/>
      <c r="AW93" s="16">
        <v>0</v>
      </c>
      <c r="AX93" s="16">
        <v>0</v>
      </c>
      <c r="AY93" s="16">
        <v>0</v>
      </c>
      <c r="AZ93" s="18"/>
      <c r="BA93" s="16"/>
      <c r="BB93" s="16"/>
      <c r="BC93" s="16"/>
      <c r="BD93" s="16"/>
      <c r="BE93" s="16"/>
      <c r="BF93" s="16"/>
      <c r="BG93" s="235"/>
    </row>
    <row r="94" spans="1:59" x14ac:dyDescent="0.25">
      <c r="A94" s="47">
        <v>93</v>
      </c>
      <c r="B94" s="81">
        <v>46010</v>
      </c>
      <c r="C94" s="82" t="s">
        <v>327</v>
      </c>
      <c r="D94" s="82" t="s">
        <v>324</v>
      </c>
      <c r="E94" s="82" t="s">
        <v>74</v>
      </c>
      <c r="F94" s="82" t="s">
        <v>9</v>
      </c>
      <c r="G94" s="82" t="s">
        <v>171</v>
      </c>
      <c r="H94" s="109">
        <v>687</v>
      </c>
      <c r="I94" s="82" t="s">
        <v>13</v>
      </c>
      <c r="J94" s="62"/>
      <c r="K94" s="320"/>
      <c r="L94" s="320"/>
      <c r="M94" s="320"/>
      <c r="N94" s="320"/>
      <c r="O94" s="320"/>
      <c r="P94" s="320"/>
      <c r="Q94" s="320"/>
      <c r="R94" s="12">
        <f t="shared" si="20"/>
        <v>0</v>
      </c>
      <c r="S94" s="262">
        <f>(K94+L94)*U94</f>
        <v>0</v>
      </c>
      <c r="T94" s="26">
        <f>S94+P94+O94+N94+M94</f>
        <v>0</v>
      </c>
      <c r="U94" s="25">
        <v>1200</v>
      </c>
      <c r="V94" s="62">
        <v>138</v>
      </c>
      <c r="W94" s="62"/>
      <c r="X94" s="62"/>
      <c r="Y94" s="62"/>
      <c r="Z94" s="62"/>
      <c r="AA94" s="62"/>
      <c r="AB94" s="62"/>
      <c r="AC94" s="62"/>
      <c r="AD94" s="62"/>
      <c r="AE94" s="49"/>
      <c r="AF94" s="62"/>
      <c r="AG94" s="321">
        <f t="shared" ref="AG94:AG129" si="27">AE94*AF94</f>
        <v>0</v>
      </c>
      <c r="AH94" s="62"/>
      <c r="AI94" s="62"/>
      <c r="AJ94" s="62"/>
      <c r="AK94" s="317">
        <f t="shared" si="21"/>
        <v>138</v>
      </c>
      <c r="AL94" s="262">
        <f>AK94*U94</f>
        <v>165600</v>
      </c>
      <c r="AM94" s="22">
        <f>AL94+AJ94+AI94+AH94+AG94+AD94+AC94+AB94+AA94+Z94+Y94+X94</f>
        <v>165600</v>
      </c>
      <c r="AN94" s="79">
        <f>AM94+T94</f>
        <v>165600</v>
      </c>
      <c r="AO94" s="25"/>
      <c r="AP94" s="216"/>
      <c r="AQ94" s="10">
        <v>0</v>
      </c>
      <c r="AR94" s="10">
        <v>0</v>
      </c>
      <c r="AS94" s="16">
        <v>0</v>
      </c>
      <c r="AT94" s="16">
        <v>0</v>
      </c>
      <c r="AU94" s="16">
        <v>0</v>
      </c>
      <c r="AV94" s="16"/>
      <c r="AW94" s="16">
        <v>0</v>
      </c>
      <c r="AX94" s="16"/>
      <c r="AY94" s="16">
        <v>0</v>
      </c>
      <c r="AZ94" s="18">
        <v>0</v>
      </c>
      <c r="BA94" s="16">
        <v>0</v>
      </c>
      <c r="BB94" s="16">
        <v>0</v>
      </c>
      <c r="BC94" s="16"/>
      <c r="BD94" s="16"/>
      <c r="BE94" s="10"/>
      <c r="BF94" s="10"/>
      <c r="BG94" s="235"/>
    </row>
    <row r="95" spans="1:59" s="35" customFormat="1" x14ac:dyDescent="0.25">
      <c r="A95" s="47">
        <v>94</v>
      </c>
      <c r="B95" s="113">
        <v>46011</v>
      </c>
      <c r="C95" s="47" t="s">
        <v>333</v>
      </c>
      <c r="D95" s="47" t="s">
        <v>79</v>
      </c>
      <c r="E95" s="47" t="s">
        <v>3</v>
      </c>
      <c r="F95" s="47" t="s">
        <v>9</v>
      </c>
      <c r="G95" s="47" t="s">
        <v>171</v>
      </c>
      <c r="H95" s="47">
        <v>711</v>
      </c>
      <c r="I95" s="47" t="s">
        <v>334</v>
      </c>
      <c r="J95" s="47"/>
      <c r="K95" s="47">
        <v>0</v>
      </c>
      <c r="L95" s="47">
        <v>32</v>
      </c>
      <c r="M95" s="47">
        <v>0</v>
      </c>
      <c r="N95" s="47">
        <v>0</v>
      </c>
      <c r="O95" s="47">
        <v>0</v>
      </c>
      <c r="P95" s="47">
        <f>610*32</f>
        <v>19520</v>
      </c>
      <c r="Q95" s="47">
        <v>0</v>
      </c>
      <c r="R95" s="12">
        <f t="shared" si="20"/>
        <v>32</v>
      </c>
      <c r="S95" s="41">
        <f>(K95+L95)*U95</f>
        <v>16896</v>
      </c>
      <c r="T95" s="41">
        <f>S95+P95+O95+N95+M95</f>
        <v>36416</v>
      </c>
      <c r="U95" s="49">
        <v>528</v>
      </c>
      <c r="V95" s="47">
        <v>135</v>
      </c>
      <c r="W95" s="47"/>
      <c r="X95" s="47">
        <v>20000</v>
      </c>
      <c r="Y95" s="47"/>
      <c r="Z95" s="47"/>
      <c r="AA95" s="47"/>
      <c r="AB95" s="47"/>
      <c r="AC95" s="47">
        <f>98*610</f>
        <v>59780</v>
      </c>
      <c r="AD95" s="47"/>
      <c r="AE95" s="49"/>
      <c r="AF95" s="47"/>
      <c r="AG95" s="321">
        <f t="shared" si="27"/>
        <v>0</v>
      </c>
      <c r="AH95" s="47"/>
      <c r="AI95" s="47"/>
      <c r="AJ95" s="47"/>
      <c r="AK95" s="317">
        <f t="shared" si="21"/>
        <v>135</v>
      </c>
      <c r="AL95" s="41">
        <f>AK95*U95</f>
        <v>71280</v>
      </c>
      <c r="AM95" s="32">
        <f>AL95+AJ95+AI95+AH95+AG95+AD95+AC95+AB95+AA95+Z95+Y95+X95</f>
        <v>151060</v>
      </c>
      <c r="AN95" s="32">
        <f>AM95+T95</f>
        <v>187476</v>
      </c>
      <c r="AO95" s="49"/>
      <c r="AP95" s="47"/>
      <c r="AQ95" s="10">
        <f>AN95*10%</f>
        <v>18747.600000000002</v>
      </c>
      <c r="AR95" s="10">
        <v>0</v>
      </c>
      <c r="AS95" s="16">
        <v>0</v>
      </c>
      <c r="AT95" s="16">
        <v>0</v>
      </c>
      <c r="AU95" s="16">
        <v>0</v>
      </c>
      <c r="AV95" s="29">
        <f>AQ95</f>
        <v>18747.600000000002</v>
      </c>
      <c r="AW95" s="16">
        <v>0</v>
      </c>
      <c r="AX95" s="16">
        <v>0</v>
      </c>
      <c r="AY95" s="16">
        <v>0</v>
      </c>
      <c r="AZ95" s="18"/>
      <c r="BA95" s="16"/>
      <c r="BB95" s="16"/>
      <c r="BC95" s="16"/>
      <c r="BD95" s="16"/>
      <c r="BE95" s="16"/>
      <c r="BF95" s="16"/>
      <c r="BG95" s="235"/>
    </row>
    <row r="96" spans="1:59" s="35" customFormat="1" x14ac:dyDescent="0.25">
      <c r="A96" s="47">
        <v>95</v>
      </c>
      <c r="B96" s="113">
        <v>45874</v>
      </c>
      <c r="C96" s="47" t="s">
        <v>403</v>
      </c>
      <c r="D96" s="47" t="s">
        <v>404</v>
      </c>
      <c r="E96" s="47" t="s">
        <v>74</v>
      </c>
      <c r="F96" s="47" t="s">
        <v>15</v>
      </c>
      <c r="G96" s="47" t="s">
        <v>171</v>
      </c>
      <c r="H96" s="47">
        <v>703</v>
      </c>
      <c r="I96" s="47" t="s">
        <v>405</v>
      </c>
      <c r="J96" s="47"/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900</v>
      </c>
      <c r="Q96" s="47"/>
      <c r="R96" s="43">
        <f t="shared" si="20"/>
        <v>0</v>
      </c>
      <c r="S96" s="41">
        <f>(K96+L96)*U96</f>
        <v>0</v>
      </c>
      <c r="T96" s="41">
        <f t="shared" ref="T96:T113" si="28">S96+P96+O96+N96+M96</f>
        <v>900</v>
      </c>
      <c r="U96" s="49">
        <v>85</v>
      </c>
      <c r="V96" s="47">
        <v>80</v>
      </c>
      <c r="W96" s="47">
        <v>0</v>
      </c>
      <c r="X96" s="47">
        <v>1950</v>
      </c>
      <c r="Y96" s="47"/>
      <c r="Z96" s="47"/>
      <c r="AA96" s="47"/>
      <c r="AB96" s="47"/>
      <c r="AC96" s="47"/>
      <c r="AD96" s="47"/>
      <c r="AE96" s="49"/>
      <c r="AF96" s="47"/>
      <c r="AG96" s="316">
        <f t="shared" si="27"/>
        <v>0</v>
      </c>
      <c r="AH96" s="47"/>
      <c r="AI96" s="47"/>
      <c r="AJ96" s="47">
        <v>330</v>
      </c>
      <c r="AK96" s="43">
        <f t="shared" si="21"/>
        <v>80</v>
      </c>
      <c r="AL96" s="41">
        <f t="shared" ref="AL96:AL108" si="29">AK96*U96</f>
        <v>6800</v>
      </c>
      <c r="AM96" s="32">
        <f t="shared" ref="AM96:AM108" si="30">AL96+AJ96+AI96+AH96+AG96+AD96+AC96+AB96+AA96+Z96+Y96+X96</f>
        <v>9080</v>
      </c>
      <c r="AN96" s="32">
        <f t="shared" ref="AN96:AN114" si="31">AM96+T96</f>
        <v>9980</v>
      </c>
      <c r="AO96" s="49"/>
      <c r="AP96" s="47"/>
      <c r="AQ96" s="45">
        <v>0</v>
      </c>
      <c r="AR96" s="45">
        <v>0</v>
      </c>
      <c r="AS96" s="48">
        <v>0</v>
      </c>
      <c r="AT96" s="48">
        <v>0</v>
      </c>
      <c r="AU96" s="48">
        <v>0</v>
      </c>
      <c r="AV96" s="45"/>
      <c r="AW96" s="48">
        <v>0</v>
      </c>
      <c r="AX96" s="48">
        <v>0</v>
      </c>
      <c r="AY96" s="48">
        <v>0</v>
      </c>
      <c r="AZ96" s="47"/>
      <c r="BA96" s="48"/>
      <c r="BB96" s="48"/>
      <c r="BC96" s="48"/>
      <c r="BD96" s="48"/>
      <c r="BE96" s="45"/>
      <c r="BF96" s="45"/>
      <c r="BG96" s="48"/>
    </row>
    <row r="97" spans="1:59" s="108" customFormat="1" x14ac:dyDescent="0.25">
      <c r="A97" s="62">
        <v>96</v>
      </c>
      <c r="B97" s="61">
        <v>45892</v>
      </c>
      <c r="C97" s="62" t="s">
        <v>406</v>
      </c>
      <c r="D97" s="62" t="s">
        <v>70</v>
      </c>
      <c r="E97" s="62" t="s">
        <v>11</v>
      </c>
      <c r="F97" s="62" t="s">
        <v>17</v>
      </c>
      <c r="G97" s="62" t="s">
        <v>171</v>
      </c>
      <c r="H97" s="62">
        <v>714</v>
      </c>
      <c r="I97" s="62" t="s">
        <v>230</v>
      </c>
      <c r="J97" s="62"/>
      <c r="K97" s="62">
        <v>0</v>
      </c>
      <c r="L97" s="62">
        <v>0</v>
      </c>
      <c r="M97" s="62">
        <v>0</v>
      </c>
      <c r="N97" s="62">
        <v>0</v>
      </c>
      <c r="O97" s="62">
        <v>0</v>
      </c>
      <c r="P97" s="62">
        <v>0</v>
      </c>
      <c r="Q97" s="62">
        <v>0</v>
      </c>
      <c r="R97" s="12">
        <f t="shared" si="20"/>
        <v>0</v>
      </c>
      <c r="S97" s="262">
        <f t="shared" ref="S97:S113" si="32">(K97+L97)*U97</f>
        <v>0</v>
      </c>
      <c r="T97" s="41">
        <f t="shared" si="28"/>
        <v>0</v>
      </c>
      <c r="U97" s="25">
        <v>155</v>
      </c>
      <c r="V97" s="62">
        <v>89.9</v>
      </c>
      <c r="W97" s="62"/>
      <c r="X97" s="62">
        <f>500+1500</f>
        <v>2000</v>
      </c>
      <c r="Y97" s="62"/>
      <c r="Z97" s="62"/>
      <c r="AA97" s="62"/>
      <c r="AB97" s="62"/>
      <c r="AC97" s="62"/>
      <c r="AD97" s="62"/>
      <c r="AE97" s="49"/>
      <c r="AF97" s="62"/>
      <c r="AG97" s="321">
        <f t="shared" si="27"/>
        <v>0</v>
      </c>
      <c r="AH97" s="62"/>
      <c r="AI97" s="62"/>
      <c r="AJ97" s="62"/>
      <c r="AK97" s="325">
        <f t="shared" si="21"/>
        <v>89.9</v>
      </c>
      <c r="AL97" s="262">
        <f t="shared" si="29"/>
        <v>13934.5</v>
      </c>
      <c r="AM97" s="79">
        <f t="shared" si="30"/>
        <v>15934.5</v>
      </c>
      <c r="AN97" s="79">
        <f t="shared" si="31"/>
        <v>15934.5</v>
      </c>
      <c r="AO97" s="25"/>
      <c r="AP97" s="62"/>
      <c r="AQ97" s="45">
        <v>0</v>
      </c>
      <c r="AR97" s="45">
        <v>0</v>
      </c>
      <c r="AS97" s="48">
        <v>0</v>
      </c>
      <c r="AT97" s="48">
        <v>0</v>
      </c>
      <c r="AU97" s="48">
        <v>0</v>
      </c>
      <c r="AV97" s="45"/>
      <c r="AW97" s="48">
        <v>0</v>
      </c>
      <c r="AX97" s="48">
        <v>0</v>
      </c>
      <c r="AY97" s="48">
        <v>0</v>
      </c>
      <c r="AZ97" s="62"/>
      <c r="BA97" s="62"/>
      <c r="BB97" s="62"/>
      <c r="BC97" s="62"/>
      <c r="BD97" s="62"/>
      <c r="BE97" s="62"/>
      <c r="BF97" s="62"/>
      <c r="BG97" s="62"/>
    </row>
    <row r="98" spans="1:59" s="35" customFormat="1" x14ac:dyDescent="0.25">
      <c r="A98" s="47">
        <v>97</v>
      </c>
      <c r="B98" s="113">
        <v>45912</v>
      </c>
      <c r="C98" s="47" t="s">
        <v>407</v>
      </c>
      <c r="D98" s="47" t="s">
        <v>295</v>
      </c>
      <c r="E98" s="47" t="s">
        <v>74</v>
      </c>
      <c r="F98" s="47" t="s">
        <v>15</v>
      </c>
      <c r="G98" s="47" t="s">
        <v>171</v>
      </c>
      <c r="H98" s="47">
        <v>719</v>
      </c>
      <c r="I98" s="47" t="s">
        <v>295</v>
      </c>
      <c r="J98" s="47"/>
      <c r="K98" s="47">
        <v>0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0</v>
      </c>
      <c r="R98" s="43">
        <f t="shared" si="20"/>
        <v>0</v>
      </c>
      <c r="S98" s="41">
        <f t="shared" si="32"/>
        <v>0</v>
      </c>
      <c r="T98" s="41">
        <f t="shared" si="28"/>
        <v>0</v>
      </c>
      <c r="U98" s="49">
        <v>13</v>
      </c>
      <c r="V98" s="47">
        <v>46.16</v>
      </c>
      <c r="W98" s="47"/>
      <c r="X98" s="47"/>
      <c r="Y98" s="47"/>
      <c r="Z98" s="47"/>
      <c r="AA98" s="47"/>
      <c r="AB98" s="47"/>
      <c r="AC98" s="47"/>
      <c r="AD98" s="47"/>
      <c r="AE98" s="49"/>
      <c r="AF98" s="47"/>
      <c r="AG98" s="321">
        <f t="shared" si="27"/>
        <v>0</v>
      </c>
      <c r="AH98" s="47"/>
      <c r="AI98" s="47"/>
      <c r="AJ98" s="47"/>
      <c r="AK98" s="43">
        <f t="shared" si="21"/>
        <v>46.16</v>
      </c>
      <c r="AL98" s="41">
        <f t="shared" si="29"/>
        <v>600.07999999999993</v>
      </c>
      <c r="AM98" s="32">
        <f t="shared" si="30"/>
        <v>600.07999999999993</v>
      </c>
      <c r="AN98" s="32">
        <f t="shared" si="31"/>
        <v>600.07999999999993</v>
      </c>
      <c r="AO98" s="49"/>
      <c r="AP98" s="47"/>
      <c r="AQ98" s="45">
        <v>0</v>
      </c>
      <c r="AR98" s="45">
        <v>0</v>
      </c>
      <c r="AS98" s="48">
        <v>0</v>
      </c>
      <c r="AT98" s="48">
        <v>0</v>
      </c>
      <c r="AU98" s="48">
        <v>0</v>
      </c>
      <c r="AV98" s="45"/>
      <c r="AW98" s="48">
        <v>0</v>
      </c>
      <c r="AX98" s="48">
        <v>0</v>
      </c>
      <c r="AY98" s="48">
        <v>0</v>
      </c>
      <c r="AZ98" s="47"/>
      <c r="BA98" s="47"/>
      <c r="BB98" s="47"/>
      <c r="BC98" s="47"/>
      <c r="BD98" s="47"/>
      <c r="BE98" s="47"/>
      <c r="BF98" s="47"/>
      <c r="BG98" s="47"/>
    </row>
    <row r="99" spans="1:59" s="108" customFormat="1" x14ac:dyDescent="0.25">
      <c r="A99" s="62">
        <v>98</v>
      </c>
      <c r="B99" s="61">
        <v>45899</v>
      </c>
      <c r="C99" s="62" t="s">
        <v>408</v>
      </c>
      <c r="D99" s="62" t="s">
        <v>16</v>
      </c>
      <c r="E99" s="62" t="s">
        <v>3</v>
      </c>
      <c r="F99" s="62" t="s">
        <v>17</v>
      </c>
      <c r="G99" s="62" t="s">
        <v>171</v>
      </c>
      <c r="H99" s="62">
        <v>722</v>
      </c>
      <c r="I99" s="62" t="s">
        <v>409</v>
      </c>
      <c r="J99" s="62"/>
      <c r="K99" s="62">
        <v>0</v>
      </c>
      <c r="L99" s="62">
        <v>0</v>
      </c>
      <c r="M99" s="62">
        <v>0</v>
      </c>
      <c r="N99" s="62">
        <v>0</v>
      </c>
      <c r="O99" s="62">
        <v>0</v>
      </c>
      <c r="P99" s="62">
        <v>0</v>
      </c>
      <c r="Q99" s="62">
        <v>0</v>
      </c>
      <c r="R99" s="12">
        <f t="shared" ref="R99:R113" si="33">K99+L99</f>
        <v>0</v>
      </c>
      <c r="S99" s="262">
        <f t="shared" si="32"/>
        <v>0</v>
      </c>
      <c r="T99" s="41">
        <f t="shared" si="28"/>
        <v>0</v>
      </c>
      <c r="U99" s="25">
        <v>85</v>
      </c>
      <c r="V99" s="62">
        <v>45</v>
      </c>
      <c r="W99" s="62"/>
      <c r="X99" s="62"/>
      <c r="Y99" s="62"/>
      <c r="Z99" s="62"/>
      <c r="AA99" s="62"/>
      <c r="AB99" s="62"/>
      <c r="AC99" s="62"/>
      <c r="AD99" s="62"/>
      <c r="AE99" s="49"/>
      <c r="AF99" s="62"/>
      <c r="AG99" s="321">
        <f t="shared" si="27"/>
        <v>0</v>
      </c>
      <c r="AH99" s="62"/>
      <c r="AI99" s="62"/>
      <c r="AJ99" s="62"/>
      <c r="AK99" s="325">
        <f t="shared" si="21"/>
        <v>45</v>
      </c>
      <c r="AL99" s="262">
        <f t="shared" si="29"/>
        <v>3825</v>
      </c>
      <c r="AM99" s="79">
        <f t="shared" si="30"/>
        <v>3825</v>
      </c>
      <c r="AN99" s="79">
        <f t="shared" si="31"/>
        <v>3825</v>
      </c>
      <c r="AO99" s="25"/>
      <c r="AP99" s="62"/>
      <c r="AQ99" s="320"/>
      <c r="AR99" s="320"/>
      <c r="AS99" s="320"/>
      <c r="AT99" s="48">
        <f>AN99*10%</f>
        <v>382.5</v>
      </c>
      <c r="AU99" s="320"/>
      <c r="AV99" s="320"/>
      <c r="AW99" s="320"/>
      <c r="AX99" s="320"/>
      <c r="AY99" s="320"/>
      <c r="AZ99" s="62"/>
      <c r="BA99" s="62"/>
      <c r="BB99" s="62"/>
      <c r="BC99" s="62"/>
      <c r="BD99" s="62"/>
      <c r="BE99" s="62"/>
      <c r="BF99" s="62"/>
      <c r="BG99" s="62"/>
    </row>
    <row r="100" spans="1:59" s="108" customFormat="1" x14ac:dyDescent="0.25">
      <c r="A100" s="62">
        <v>99</v>
      </c>
      <c r="B100" s="61">
        <v>45946</v>
      </c>
      <c r="C100" s="62" t="s">
        <v>414</v>
      </c>
      <c r="D100" s="62" t="s">
        <v>191</v>
      </c>
      <c r="E100" s="62" t="s">
        <v>74</v>
      </c>
      <c r="F100" s="62" t="s">
        <v>296</v>
      </c>
      <c r="G100" s="62" t="s">
        <v>171</v>
      </c>
      <c r="H100" s="62">
        <v>739</v>
      </c>
      <c r="I100" s="62" t="s">
        <v>415</v>
      </c>
      <c r="J100" s="62"/>
      <c r="K100" s="62">
        <v>20</v>
      </c>
      <c r="L100" s="62">
        <v>0</v>
      </c>
      <c r="M100" s="62">
        <v>0</v>
      </c>
      <c r="N100" s="62">
        <v>0</v>
      </c>
      <c r="O100" s="62">
        <v>0</v>
      </c>
      <c r="P100" s="62">
        <v>0</v>
      </c>
      <c r="Q100" s="62">
        <v>0</v>
      </c>
      <c r="R100" s="12">
        <f t="shared" si="33"/>
        <v>20</v>
      </c>
      <c r="S100" s="262">
        <f t="shared" si="32"/>
        <v>6000</v>
      </c>
      <c r="T100" s="41">
        <f t="shared" si="28"/>
        <v>6000</v>
      </c>
      <c r="U100" s="25">
        <v>300</v>
      </c>
      <c r="V100" s="62">
        <v>80</v>
      </c>
      <c r="W100" s="62">
        <v>0</v>
      </c>
      <c r="X100" s="62">
        <f>5250+500+2500</f>
        <v>8250</v>
      </c>
      <c r="Y100" s="62"/>
      <c r="Z100" s="62"/>
      <c r="AA100" s="62"/>
      <c r="AB100" s="62"/>
      <c r="AC100" s="62"/>
      <c r="AD100" s="62"/>
      <c r="AE100" s="49"/>
      <c r="AF100" s="62"/>
      <c r="AG100" s="321">
        <f t="shared" si="27"/>
        <v>0</v>
      </c>
      <c r="AH100" s="62"/>
      <c r="AI100" s="62"/>
      <c r="AJ100" s="62">
        <v>2000</v>
      </c>
      <c r="AK100" s="325">
        <f t="shared" si="21"/>
        <v>80</v>
      </c>
      <c r="AL100" s="262">
        <f t="shared" si="29"/>
        <v>24000</v>
      </c>
      <c r="AM100" s="79">
        <f t="shared" si="30"/>
        <v>34250</v>
      </c>
      <c r="AN100" s="79">
        <f t="shared" si="31"/>
        <v>40250</v>
      </c>
      <c r="AO100" s="25"/>
      <c r="AP100" s="62"/>
      <c r="AQ100" s="320"/>
      <c r="AR100" s="320"/>
      <c r="AS100" s="320"/>
      <c r="AT100" s="48">
        <f>AN100*10%</f>
        <v>4025</v>
      </c>
      <c r="AU100" s="320"/>
      <c r="AV100" s="320"/>
      <c r="AW100" s="320"/>
      <c r="AX100" s="320"/>
      <c r="AY100" s="320"/>
      <c r="AZ100" s="62"/>
      <c r="BA100" s="62"/>
      <c r="BB100" s="62"/>
      <c r="BC100" s="62"/>
      <c r="BD100" s="62"/>
      <c r="BE100" s="62"/>
      <c r="BF100" s="62"/>
      <c r="BG100" s="62"/>
    </row>
    <row r="101" spans="1:59" x14ac:dyDescent="0.25">
      <c r="A101" s="62">
        <v>100</v>
      </c>
      <c r="B101" s="265">
        <v>45926</v>
      </c>
      <c r="C101" s="216" t="s">
        <v>417</v>
      </c>
      <c r="D101" s="216" t="s">
        <v>418</v>
      </c>
      <c r="E101" s="216" t="s">
        <v>74</v>
      </c>
      <c r="F101" s="216" t="s">
        <v>15</v>
      </c>
      <c r="G101" s="216" t="s">
        <v>171</v>
      </c>
      <c r="H101" s="216">
        <v>734</v>
      </c>
      <c r="I101" s="216" t="s">
        <v>418</v>
      </c>
      <c r="J101" s="216"/>
      <c r="K101" s="216">
        <v>0</v>
      </c>
      <c r="L101" s="216">
        <v>0</v>
      </c>
      <c r="M101" s="216">
        <v>0</v>
      </c>
      <c r="N101" s="216">
        <v>0</v>
      </c>
      <c r="O101" s="216">
        <v>0</v>
      </c>
      <c r="P101" s="216">
        <v>0</v>
      </c>
      <c r="Q101" s="216">
        <v>0</v>
      </c>
      <c r="R101" s="12">
        <f t="shared" si="33"/>
        <v>0</v>
      </c>
      <c r="S101" s="262">
        <f t="shared" si="32"/>
        <v>0</v>
      </c>
      <c r="T101" s="41">
        <f t="shared" si="28"/>
        <v>0</v>
      </c>
      <c r="U101" s="25">
        <v>20</v>
      </c>
      <c r="V101" s="216">
        <v>58</v>
      </c>
      <c r="W101" s="216">
        <v>0</v>
      </c>
      <c r="X101" s="216">
        <v>900</v>
      </c>
      <c r="Y101" s="216"/>
      <c r="Z101" s="216"/>
      <c r="AA101" s="216"/>
      <c r="AB101" s="216"/>
      <c r="AC101" s="216"/>
      <c r="AD101" s="216"/>
      <c r="AE101" s="49"/>
      <c r="AF101" s="216"/>
      <c r="AG101" s="321">
        <f t="shared" si="27"/>
        <v>0</v>
      </c>
      <c r="AH101" s="216"/>
      <c r="AI101" s="216"/>
      <c r="AJ101" s="216">
        <v>307</v>
      </c>
      <c r="AK101" s="325">
        <f t="shared" si="21"/>
        <v>58</v>
      </c>
      <c r="AL101" s="262">
        <f t="shared" si="29"/>
        <v>1160</v>
      </c>
      <c r="AM101" s="79">
        <f t="shared" si="30"/>
        <v>2367</v>
      </c>
      <c r="AN101" s="79">
        <f t="shared" si="31"/>
        <v>2367</v>
      </c>
      <c r="AO101" s="20"/>
      <c r="AP101" s="216"/>
      <c r="AQ101" s="235"/>
      <c r="AR101" s="235"/>
      <c r="AS101" s="235"/>
      <c r="AT101" s="235"/>
      <c r="AU101" s="235"/>
      <c r="AV101" s="235"/>
      <c r="AW101" s="235"/>
      <c r="AX101" s="235"/>
      <c r="AY101" s="235"/>
      <c r="AZ101" s="216"/>
      <c r="BA101" s="216"/>
      <c r="BB101" s="216"/>
      <c r="BC101" s="216"/>
      <c r="BD101" s="216"/>
      <c r="BE101" s="216"/>
      <c r="BF101" s="216"/>
      <c r="BG101" s="216"/>
    </row>
    <row r="102" spans="1:59" s="35" customFormat="1" x14ac:dyDescent="0.25">
      <c r="A102" s="47">
        <v>101</v>
      </c>
      <c r="B102" s="113">
        <v>45932</v>
      </c>
      <c r="C102" s="47" t="s">
        <v>422</v>
      </c>
      <c r="D102" s="47" t="s">
        <v>244</v>
      </c>
      <c r="E102" s="47" t="s">
        <v>74</v>
      </c>
      <c r="F102" s="47" t="s">
        <v>15</v>
      </c>
      <c r="G102" s="47" t="s">
        <v>171</v>
      </c>
      <c r="H102" s="47">
        <v>737</v>
      </c>
      <c r="I102" s="47" t="s">
        <v>262</v>
      </c>
      <c r="J102" s="47"/>
      <c r="K102" s="47">
        <v>10</v>
      </c>
      <c r="L102" s="47">
        <v>0</v>
      </c>
      <c r="M102" s="47">
        <v>0</v>
      </c>
      <c r="N102" s="47">
        <v>0</v>
      </c>
      <c r="O102" s="47">
        <v>0</v>
      </c>
      <c r="P102" s="47">
        <v>900</v>
      </c>
      <c r="Q102" s="47">
        <v>0</v>
      </c>
      <c r="R102" s="12">
        <f t="shared" si="33"/>
        <v>10</v>
      </c>
      <c r="S102" s="41">
        <f t="shared" si="32"/>
        <v>7000</v>
      </c>
      <c r="T102" s="41">
        <f t="shared" si="28"/>
        <v>7900</v>
      </c>
      <c r="U102" s="49">
        <v>700</v>
      </c>
      <c r="V102" s="47">
        <v>65</v>
      </c>
      <c r="W102" s="47"/>
      <c r="X102" s="47">
        <f>9300+2000</f>
        <v>11300</v>
      </c>
      <c r="Y102" s="47">
        <v>0</v>
      </c>
      <c r="Z102" s="47">
        <v>0</v>
      </c>
      <c r="AA102" s="47"/>
      <c r="AB102" s="47"/>
      <c r="AC102" s="47"/>
      <c r="AD102" s="47"/>
      <c r="AE102" s="49"/>
      <c r="AF102" s="47"/>
      <c r="AG102" s="316">
        <f t="shared" si="27"/>
        <v>0</v>
      </c>
      <c r="AH102" s="47"/>
      <c r="AI102" s="47"/>
      <c r="AJ102" s="47">
        <v>10158</v>
      </c>
      <c r="AK102" s="325">
        <f t="shared" si="21"/>
        <v>65</v>
      </c>
      <c r="AL102" s="41">
        <f t="shared" si="29"/>
        <v>45500</v>
      </c>
      <c r="AM102" s="32">
        <f t="shared" si="30"/>
        <v>66958</v>
      </c>
      <c r="AN102" s="32">
        <f>AM102+T102</f>
        <v>74858</v>
      </c>
      <c r="AO102" s="49"/>
      <c r="AP102" s="47"/>
      <c r="AQ102" s="48"/>
      <c r="AR102" s="48"/>
      <c r="AS102" s="48"/>
      <c r="AT102" s="48"/>
      <c r="AU102" s="48"/>
      <c r="AV102" s="48"/>
      <c r="AW102" s="48"/>
      <c r="AX102" s="48"/>
      <c r="AY102" s="48"/>
      <c r="AZ102" s="47"/>
      <c r="BA102" s="47"/>
      <c r="BB102" s="47"/>
      <c r="BC102" s="47"/>
      <c r="BD102" s="47"/>
      <c r="BE102" s="47"/>
      <c r="BF102" s="47"/>
      <c r="BG102" s="47"/>
    </row>
    <row r="103" spans="1:59" x14ac:dyDescent="0.25">
      <c r="A103" s="62">
        <v>102</v>
      </c>
      <c r="B103" s="265">
        <v>45939</v>
      </c>
      <c r="C103" s="216" t="s">
        <v>424</v>
      </c>
      <c r="D103" s="216" t="s">
        <v>221</v>
      </c>
      <c r="E103" s="216" t="s">
        <v>11</v>
      </c>
      <c r="F103" s="216" t="s">
        <v>15</v>
      </c>
      <c r="G103" s="216" t="s">
        <v>171</v>
      </c>
      <c r="H103" s="216">
        <v>752</v>
      </c>
      <c r="I103" s="216" t="s">
        <v>218</v>
      </c>
      <c r="J103" s="216"/>
      <c r="K103" s="216">
        <v>0</v>
      </c>
      <c r="L103" s="216">
        <v>0</v>
      </c>
      <c r="M103" s="216">
        <v>0</v>
      </c>
      <c r="N103" s="216">
        <v>0</v>
      </c>
      <c r="O103" s="216">
        <v>0</v>
      </c>
      <c r="P103" s="216">
        <v>0</v>
      </c>
      <c r="Q103" s="216">
        <v>0</v>
      </c>
      <c r="R103" s="12">
        <f t="shared" si="33"/>
        <v>0</v>
      </c>
      <c r="S103" s="262">
        <f t="shared" si="32"/>
        <v>0</v>
      </c>
      <c r="T103" s="41">
        <f t="shared" si="28"/>
        <v>0</v>
      </c>
      <c r="U103" s="25">
        <v>60</v>
      </c>
      <c r="V103" s="216">
        <v>45</v>
      </c>
      <c r="W103" s="216">
        <v>0</v>
      </c>
      <c r="X103" s="216">
        <v>250</v>
      </c>
      <c r="Y103" s="216"/>
      <c r="Z103" s="216"/>
      <c r="AA103" s="216"/>
      <c r="AB103" s="216"/>
      <c r="AC103" s="216"/>
      <c r="AD103" s="216"/>
      <c r="AE103" s="49"/>
      <c r="AF103" s="216"/>
      <c r="AG103" s="321">
        <f t="shared" si="27"/>
        <v>0</v>
      </c>
      <c r="AH103" s="216"/>
      <c r="AI103" s="216"/>
      <c r="AJ103" s="216"/>
      <c r="AK103" s="325">
        <f t="shared" si="21"/>
        <v>45</v>
      </c>
      <c r="AL103" s="262">
        <f t="shared" si="29"/>
        <v>2700</v>
      </c>
      <c r="AM103" s="79">
        <f t="shared" si="30"/>
        <v>2950</v>
      </c>
      <c r="AN103" s="79">
        <f t="shared" si="31"/>
        <v>2950</v>
      </c>
      <c r="AO103" s="20"/>
      <c r="AP103" s="216"/>
      <c r="AQ103" s="235"/>
      <c r="AR103" s="235"/>
      <c r="AS103" s="235"/>
      <c r="AT103" s="235"/>
      <c r="AU103" s="235"/>
      <c r="AV103" s="235"/>
      <c r="AW103" s="235"/>
      <c r="AX103" s="235"/>
      <c r="AY103" s="235"/>
      <c r="AZ103" s="216"/>
      <c r="BA103" s="216"/>
      <c r="BB103" s="216"/>
      <c r="BC103" s="216"/>
      <c r="BD103" s="216"/>
      <c r="BE103" s="216"/>
      <c r="BF103" s="216"/>
      <c r="BG103" s="216"/>
    </row>
    <row r="104" spans="1:59" x14ac:dyDescent="0.25">
      <c r="A104" s="62">
        <v>103</v>
      </c>
      <c r="B104" s="265">
        <v>45946</v>
      </c>
      <c r="C104" s="216" t="s">
        <v>425</v>
      </c>
      <c r="D104" s="216" t="s">
        <v>426</v>
      </c>
      <c r="E104" s="216" t="s">
        <v>3</v>
      </c>
      <c r="F104" s="216" t="s">
        <v>15</v>
      </c>
      <c r="G104" s="216" t="s">
        <v>171</v>
      </c>
      <c r="H104" s="216">
        <v>724</v>
      </c>
      <c r="I104" s="216" t="s">
        <v>427</v>
      </c>
      <c r="J104" s="216"/>
      <c r="K104" s="216">
        <v>0</v>
      </c>
      <c r="L104" s="216">
        <v>0</v>
      </c>
      <c r="M104" s="216">
        <v>0</v>
      </c>
      <c r="N104" s="216">
        <v>0</v>
      </c>
      <c r="O104" s="216">
        <v>0</v>
      </c>
      <c r="P104" s="216">
        <v>0</v>
      </c>
      <c r="Q104" s="216">
        <v>0</v>
      </c>
      <c r="R104" s="12">
        <f t="shared" si="33"/>
        <v>0</v>
      </c>
      <c r="S104" s="262">
        <f t="shared" si="32"/>
        <v>0</v>
      </c>
      <c r="T104" s="41">
        <f t="shared" si="28"/>
        <v>0</v>
      </c>
      <c r="U104" s="20">
        <v>16</v>
      </c>
      <c r="V104" s="216">
        <v>70</v>
      </c>
      <c r="W104" s="216">
        <v>0</v>
      </c>
      <c r="X104" s="216">
        <v>0</v>
      </c>
      <c r="Y104" s="216">
        <v>0</v>
      </c>
      <c r="Z104" s="216">
        <v>0</v>
      </c>
      <c r="AA104" s="216">
        <v>0</v>
      </c>
      <c r="AB104" s="216">
        <v>0</v>
      </c>
      <c r="AC104" s="216">
        <v>0</v>
      </c>
      <c r="AD104" s="216">
        <v>0</v>
      </c>
      <c r="AE104" s="49">
        <v>0</v>
      </c>
      <c r="AF104" s="216"/>
      <c r="AG104" s="321">
        <f t="shared" si="27"/>
        <v>0</v>
      </c>
      <c r="AH104" s="216"/>
      <c r="AI104" s="216"/>
      <c r="AJ104" s="216"/>
      <c r="AK104" s="325">
        <f t="shared" si="21"/>
        <v>70</v>
      </c>
      <c r="AL104" s="262">
        <f t="shared" si="29"/>
        <v>1120</v>
      </c>
      <c r="AM104" s="79">
        <f t="shared" si="30"/>
        <v>1120</v>
      </c>
      <c r="AN104" s="79">
        <f t="shared" si="31"/>
        <v>1120</v>
      </c>
      <c r="AO104" s="20"/>
      <c r="AP104" s="216"/>
      <c r="AQ104" s="235"/>
      <c r="AR104" s="235"/>
      <c r="AS104" s="235"/>
      <c r="AT104" s="235"/>
      <c r="AU104" s="235"/>
      <c r="AV104" s="235"/>
      <c r="AW104" s="235"/>
      <c r="AX104" s="235"/>
      <c r="AY104" s="235"/>
      <c r="AZ104" s="216"/>
      <c r="BA104" s="216"/>
      <c r="BB104" s="216"/>
      <c r="BC104" s="216"/>
      <c r="BD104" s="216"/>
      <c r="BE104" s="216"/>
      <c r="BF104" s="216"/>
      <c r="BG104" s="216"/>
    </row>
    <row r="105" spans="1:59" x14ac:dyDescent="0.25">
      <c r="A105" s="62">
        <v>104</v>
      </c>
      <c r="B105" s="265">
        <v>45996</v>
      </c>
      <c r="C105" s="216" t="s">
        <v>429</v>
      </c>
      <c r="D105" s="216" t="s">
        <v>295</v>
      </c>
      <c r="E105" s="216" t="s">
        <v>74</v>
      </c>
      <c r="F105" s="216" t="s">
        <v>430</v>
      </c>
      <c r="G105" s="216" t="s">
        <v>171</v>
      </c>
      <c r="H105" s="216">
        <v>751</v>
      </c>
      <c r="I105" s="216" t="s">
        <v>431</v>
      </c>
      <c r="J105" s="216"/>
      <c r="K105" s="216">
        <v>27</v>
      </c>
      <c r="L105" s="216">
        <v>35</v>
      </c>
      <c r="M105" s="216">
        <v>0</v>
      </c>
      <c r="N105" s="216">
        <v>0</v>
      </c>
      <c r="O105" s="216">
        <v>0</v>
      </c>
      <c r="P105" s="216">
        <v>0</v>
      </c>
      <c r="Q105" s="216">
        <v>0</v>
      </c>
      <c r="R105" s="12">
        <f t="shared" si="33"/>
        <v>62</v>
      </c>
      <c r="S105" s="262">
        <f t="shared" si="32"/>
        <v>9300</v>
      </c>
      <c r="T105" s="41">
        <f t="shared" si="28"/>
        <v>9300</v>
      </c>
      <c r="U105" s="20">
        <v>150</v>
      </c>
      <c r="V105" s="216">
        <v>140</v>
      </c>
      <c r="W105" s="216">
        <v>26</v>
      </c>
      <c r="X105" s="216">
        <v>7350</v>
      </c>
      <c r="Y105" s="216"/>
      <c r="Z105" s="216"/>
      <c r="AA105" s="216"/>
      <c r="AB105" s="216"/>
      <c r="AC105" s="216"/>
      <c r="AD105" s="216"/>
      <c r="AE105" s="49"/>
      <c r="AF105" s="216"/>
      <c r="AG105" s="321">
        <f t="shared" si="27"/>
        <v>0</v>
      </c>
      <c r="AH105" s="216"/>
      <c r="AI105" s="216"/>
      <c r="AJ105" s="216">
        <v>6208.62</v>
      </c>
      <c r="AK105" s="325">
        <f t="shared" si="21"/>
        <v>166</v>
      </c>
      <c r="AL105" s="262">
        <f t="shared" si="29"/>
        <v>24900</v>
      </c>
      <c r="AM105" s="79">
        <f t="shared" si="30"/>
        <v>38458.619999999995</v>
      </c>
      <c r="AN105" s="79">
        <f t="shared" si="31"/>
        <v>47758.619999999995</v>
      </c>
      <c r="AO105" s="20"/>
      <c r="AP105" s="216"/>
      <c r="AQ105" s="235"/>
      <c r="AR105" s="235"/>
      <c r="AS105" s="235"/>
      <c r="AT105" s="235"/>
      <c r="AU105" s="235"/>
      <c r="AV105" s="235"/>
      <c r="AW105" s="235"/>
      <c r="AX105" s="235"/>
      <c r="AY105" s="235"/>
      <c r="AZ105" s="216"/>
      <c r="BA105" s="216"/>
      <c r="BB105" s="216"/>
      <c r="BC105" s="216"/>
      <c r="BD105" s="216"/>
      <c r="BE105" s="216"/>
      <c r="BF105" s="216"/>
      <c r="BG105" s="216"/>
    </row>
    <row r="106" spans="1:59" s="35" customFormat="1" x14ac:dyDescent="0.25">
      <c r="A106" s="47">
        <v>105</v>
      </c>
      <c r="B106" s="113">
        <v>45955</v>
      </c>
      <c r="C106" s="47" t="s">
        <v>435</v>
      </c>
      <c r="D106" s="47"/>
      <c r="E106" s="47" t="s">
        <v>74</v>
      </c>
      <c r="F106" s="47" t="s">
        <v>15</v>
      </c>
      <c r="G106" s="47" t="s">
        <v>171</v>
      </c>
      <c r="H106" s="47">
        <v>753</v>
      </c>
      <c r="I106" s="47" t="s">
        <v>405</v>
      </c>
      <c r="J106" s="47"/>
      <c r="K106" s="47">
        <v>15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0</v>
      </c>
      <c r="R106" s="43">
        <f t="shared" si="33"/>
        <v>15</v>
      </c>
      <c r="S106" s="41">
        <f t="shared" si="32"/>
        <v>165</v>
      </c>
      <c r="T106" s="41">
        <f t="shared" si="28"/>
        <v>165</v>
      </c>
      <c r="U106" s="49">
        <v>11</v>
      </c>
      <c r="V106" s="47">
        <f>115+42</f>
        <v>157</v>
      </c>
      <c r="W106" s="47"/>
      <c r="X106" s="47">
        <f>344+540</f>
        <v>884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9"/>
      <c r="AF106" s="47"/>
      <c r="AG106" s="316">
        <f t="shared" si="27"/>
        <v>0</v>
      </c>
      <c r="AH106" s="47"/>
      <c r="AI106" s="47"/>
      <c r="AJ106" s="47">
        <v>275</v>
      </c>
      <c r="AK106" s="325">
        <f t="shared" si="21"/>
        <v>157</v>
      </c>
      <c r="AL106" s="41">
        <f t="shared" si="29"/>
        <v>1727</v>
      </c>
      <c r="AM106" s="32">
        <f t="shared" si="30"/>
        <v>2886</v>
      </c>
      <c r="AN106" s="32">
        <f t="shared" si="31"/>
        <v>3051</v>
      </c>
      <c r="AO106" s="49"/>
      <c r="AP106" s="47"/>
      <c r="AQ106" s="48"/>
      <c r="AR106" s="48"/>
      <c r="AS106" s="48"/>
      <c r="AT106" s="48"/>
      <c r="AU106" s="48"/>
      <c r="AV106" s="84">
        <f>AN106*10%</f>
        <v>305.10000000000002</v>
      </c>
      <c r="AW106" s="48"/>
      <c r="AX106" s="48"/>
      <c r="AY106" s="48"/>
      <c r="AZ106" s="47"/>
      <c r="BA106" s="47"/>
      <c r="BB106" s="47"/>
      <c r="BC106" s="47"/>
      <c r="BD106" s="47"/>
      <c r="BE106" s="47"/>
      <c r="BF106" s="47"/>
      <c r="BG106" s="47"/>
    </row>
    <row r="107" spans="1:59" x14ac:dyDescent="0.25">
      <c r="A107" s="216">
        <v>106</v>
      </c>
      <c r="B107" s="265">
        <v>45961</v>
      </c>
      <c r="C107" s="216" t="s">
        <v>297</v>
      </c>
      <c r="D107" s="216" t="s">
        <v>16</v>
      </c>
      <c r="E107" s="216" t="s">
        <v>3</v>
      </c>
      <c r="F107" s="216" t="s">
        <v>17</v>
      </c>
      <c r="G107" s="216" t="s">
        <v>171</v>
      </c>
      <c r="H107" s="216">
        <v>756</v>
      </c>
      <c r="I107" s="216" t="s">
        <v>436</v>
      </c>
      <c r="J107" s="216"/>
      <c r="K107" s="216">
        <v>0</v>
      </c>
      <c r="L107" s="216">
        <v>0</v>
      </c>
      <c r="M107" s="216">
        <v>0</v>
      </c>
      <c r="N107" s="216">
        <v>0</v>
      </c>
      <c r="O107" s="216">
        <v>0</v>
      </c>
      <c r="P107" s="216">
        <v>0</v>
      </c>
      <c r="Q107" s="216">
        <v>0</v>
      </c>
      <c r="R107" s="12">
        <f t="shared" si="33"/>
        <v>0</v>
      </c>
      <c r="S107" s="262">
        <f t="shared" si="32"/>
        <v>0</v>
      </c>
      <c r="T107" s="41">
        <f t="shared" si="28"/>
        <v>0</v>
      </c>
      <c r="U107" s="20">
        <v>60</v>
      </c>
      <c r="V107" s="216">
        <v>50</v>
      </c>
      <c r="W107" s="216">
        <v>0</v>
      </c>
      <c r="X107" s="216">
        <v>1200</v>
      </c>
      <c r="Y107" s="216">
        <v>0</v>
      </c>
      <c r="Z107" s="216">
        <v>0</v>
      </c>
      <c r="AA107" s="216">
        <v>0</v>
      </c>
      <c r="AB107" s="216">
        <v>0</v>
      </c>
      <c r="AC107" s="216">
        <v>0</v>
      </c>
      <c r="AD107" s="216">
        <v>0</v>
      </c>
      <c r="AE107" s="49">
        <v>0</v>
      </c>
      <c r="AF107" s="216">
        <v>0</v>
      </c>
      <c r="AG107" s="321">
        <f t="shared" si="27"/>
        <v>0</v>
      </c>
      <c r="AH107" s="216">
        <v>0</v>
      </c>
      <c r="AI107" s="216">
        <v>0</v>
      </c>
      <c r="AJ107" s="216">
        <v>0</v>
      </c>
      <c r="AK107" s="325">
        <f t="shared" si="21"/>
        <v>50</v>
      </c>
      <c r="AL107" s="262">
        <f t="shared" si="29"/>
        <v>3000</v>
      </c>
      <c r="AM107" s="79">
        <f t="shared" si="30"/>
        <v>4200</v>
      </c>
      <c r="AN107" s="79">
        <f t="shared" si="31"/>
        <v>4200</v>
      </c>
      <c r="AO107" s="216"/>
      <c r="AP107" s="216"/>
      <c r="AQ107" s="235"/>
      <c r="AR107" s="235"/>
      <c r="AS107" s="235"/>
      <c r="AT107" s="341">
        <f>AN107*10%</f>
        <v>420</v>
      </c>
      <c r="AU107" s="235"/>
      <c r="AV107" s="235"/>
      <c r="AW107" s="235"/>
      <c r="AX107" s="235"/>
      <c r="AY107" s="235"/>
      <c r="AZ107" s="216"/>
      <c r="BA107" s="216"/>
      <c r="BB107" s="216"/>
      <c r="BC107" s="216"/>
      <c r="BD107" s="216"/>
      <c r="BE107" s="216"/>
      <c r="BF107" s="216"/>
      <c r="BG107" s="216"/>
    </row>
    <row r="108" spans="1:59" s="35" customFormat="1" x14ac:dyDescent="0.25">
      <c r="A108" s="47">
        <v>107</v>
      </c>
      <c r="B108" s="113">
        <v>45962</v>
      </c>
      <c r="C108" s="266" t="s">
        <v>437</v>
      </c>
      <c r="D108" s="266" t="s">
        <v>221</v>
      </c>
      <c r="E108" s="266" t="s">
        <v>11</v>
      </c>
      <c r="F108" s="266" t="s">
        <v>17</v>
      </c>
      <c r="G108" s="266" t="s">
        <v>171</v>
      </c>
      <c r="H108" s="266">
        <v>755</v>
      </c>
      <c r="I108" s="266" t="s">
        <v>306</v>
      </c>
      <c r="J108" s="47"/>
      <c r="K108" s="266">
        <v>0</v>
      </c>
      <c r="L108" s="266">
        <v>0</v>
      </c>
      <c r="M108" s="266">
        <v>0</v>
      </c>
      <c r="N108" s="266">
        <v>0</v>
      </c>
      <c r="O108" s="266">
        <v>0</v>
      </c>
      <c r="P108" s="266">
        <v>0</v>
      </c>
      <c r="Q108" s="266">
        <v>0</v>
      </c>
      <c r="R108" s="43">
        <f t="shared" si="33"/>
        <v>0</v>
      </c>
      <c r="S108" s="41">
        <f t="shared" si="32"/>
        <v>0</v>
      </c>
      <c r="T108" s="41">
        <f t="shared" si="28"/>
        <v>0</v>
      </c>
      <c r="U108" s="49">
        <v>63</v>
      </c>
      <c r="V108" s="266">
        <v>89</v>
      </c>
      <c r="W108" s="47"/>
      <c r="X108" s="266">
        <v>750</v>
      </c>
      <c r="Y108" s="47"/>
      <c r="Z108" s="47"/>
      <c r="AA108" s="47"/>
      <c r="AB108" s="47"/>
      <c r="AC108" s="47"/>
      <c r="AD108" s="47"/>
      <c r="AE108" s="49"/>
      <c r="AF108" s="47"/>
      <c r="AG108" s="316">
        <f t="shared" si="27"/>
        <v>0</v>
      </c>
      <c r="AH108" s="47"/>
      <c r="AI108" s="47"/>
      <c r="AJ108" s="47"/>
      <c r="AK108" s="43">
        <f t="shared" si="21"/>
        <v>89</v>
      </c>
      <c r="AL108" s="41">
        <f t="shared" si="29"/>
        <v>5607</v>
      </c>
      <c r="AM108" s="32">
        <f t="shared" si="30"/>
        <v>6357</v>
      </c>
      <c r="AN108" s="32">
        <f t="shared" si="31"/>
        <v>6357</v>
      </c>
      <c r="AO108" s="47"/>
      <c r="AP108" s="47"/>
      <c r="AQ108" s="48"/>
      <c r="AR108" s="48"/>
      <c r="AS108" s="48"/>
      <c r="AT108" s="48"/>
      <c r="AU108" s="48"/>
      <c r="AV108" s="48"/>
      <c r="AW108" s="48"/>
      <c r="AX108" s="48"/>
      <c r="AY108" s="48"/>
      <c r="AZ108" s="47"/>
      <c r="BA108" s="47"/>
      <c r="BB108" s="47"/>
      <c r="BC108" s="47"/>
      <c r="BD108" s="47"/>
      <c r="BE108" s="47"/>
      <c r="BF108" s="47"/>
      <c r="BG108" s="47"/>
    </row>
    <row r="109" spans="1:59" x14ac:dyDescent="0.25">
      <c r="A109" s="216">
        <v>108</v>
      </c>
      <c r="B109" s="265">
        <v>45969</v>
      </c>
      <c r="C109" s="267" t="s">
        <v>442</v>
      </c>
      <c r="D109" s="267" t="s">
        <v>70</v>
      </c>
      <c r="E109" s="267" t="s">
        <v>3</v>
      </c>
      <c r="F109" s="267" t="s">
        <v>17</v>
      </c>
      <c r="G109" s="267" t="s">
        <v>171</v>
      </c>
      <c r="H109" s="267">
        <v>761</v>
      </c>
      <c r="I109" s="267" t="s">
        <v>230</v>
      </c>
      <c r="J109" s="216"/>
      <c r="K109" s="267">
        <v>0</v>
      </c>
      <c r="L109" s="267">
        <v>0</v>
      </c>
      <c r="M109" s="267">
        <v>0</v>
      </c>
      <c r="N109" s="267">
        <v>0</v>
      </c>
      <c r="O109" s="267">
        <v>0</v>
      </c>
      <c r="P109" s="267">
        <v>0</v>
      </c>
      <c r="Q109" s="267">
        <v>0</v>
      </c>
      <c r="R109" s="12">
        <f t="shared" si="33"/>
        <v>0</v>
      </c>
      <c r="S109" s="262">
        <f t="shared" si="32"/>
        <v>0</v>
      </c>
      <c r="T109" s="41">
        <f t="shared" si="28"/>
        <v>0</v>
      </c>
      <c r="U109" s="20">
        <v>80</v>
      </c>
      <c r="V109" s="267">
        <v>89</v>
      </c>
      <c r="W109" s="216">
        <v>8.9</v>
      </c>
      <c r="X109" s="267">
        <v>2800</v>
      </c>
      <c r="Y109" s="267">
        <v>0</v>
      </c>
      <c r="Z109" s="267">
        <v>0</v>
      </c>
      <c r="AA109" s="267">
        <v>0</v>
      </c>
      <c r="AB109" s="267">
        <v>0</v>
      </c>
      <c r="AC109" s="267">
        <v>0</v>
      </c>
      <c r="AD109" s="267">
        <v>0</v>
      </c>
      <c r="AE109" s="20">
        <v>118</v>
      </c>
      <c r="AF109" s="267">
        <v>89</v>
      </c>
      <c r="AG109" s="321">
        <f t="shared" si="27"/>
        <v>10502</v>
      </c>
      <c r="AH109" s="216"/>
      <c r="AI109" s="216"/>
      <c r="AJ109" s="216"/>
      <c r="AK109" s="325">
        <f t="shared" ref="AK109:AK114" si="34">V109+W109</f>
        <v>97.9</v>
      </c>
      <c r="AL109" s="262">
        <f t="shared" ref="AL109:AL114" si="35">AK109*U109</f>
        <v>7832</v>
      </c>
      <c r="AM109" s="79">
        <f t="shared" ref="AM109:AM114" si="36">AL109+AJ109+AI109+AH109+AG109+AD109+AC109+AB109+AA109+Z109+Y109+X109</f>
        <v>21134</v>
      </c>
      <c r="AN109" s="79">
        <f t="shared" si="31"/>
        <v>21134</v>
      </c>
      <c r="AO109" s="216"/>
      <c r="AP109" s="216"/>
      <c r="AQ109" s="235"/>
      <c r="AR109" s="235"/>
      <c r="AS109" s="235"/>
      <c r="AT109" s="235"/>
      <c r="AU109" s="235"/>
      <c r="AV109" s="235"/>
      <c r="AW109" s="235"/>
      <c r="AX109" s="235"/>
      <c r="AY109" s="235"/>
      <c r="AZ109" s="216"/>
      <c r="BA109" s="216"/>
      <c r="BB109" s="216"/>
      <c r="BC109" s="216"/>
      <c r="BD109" s="216"/>
      <c r="BE109" s="216"/>
      <c r="BF109" s="216"/>
      <c r="BG109" s="216"/>
    </row>
    <row r="110" spans="1:59" x14ac:dyDescent="0.25">
      <c r="A110" s="216">
        <v>109</v>
      </c>
      <c r="B110" s="265">
        <v>45970</v>
      </c>
      <c r="C110" s="216" t="s">
        <v>443</v>
      </c>
      <c r="D110" s="216" t="s">
        <v>251</v>
      </c>
      <c r="E110" s="216" t="s">
        <v>3</v>
      </c>
      <c r="F110" s="216" t="s">
        <v>252</v>
      </c>
      <c r="G110" s="216" t="s">
        <v>171</v>
      </c>
      <c r="H110" s="216">
        <v>762</v>
      </c>
      <c r="I110" s="216" t="s">
        <v>444</v>
      </c>
      <c r="J110" s="216"/>
      <c r="K110" s="216"/>
      <c r="L110" s="216"/>
      <c r="M110" s="216"/>
      <c r="N110" s="216"/>
      <c r="O110" s="216"/>
      <c r="P110" s="216"/>
      <c r="Q110" s="216"/>
      <c r="R110" s="12">
        <f t="shared" si="33"/>
        <v>0</v>
      </c>
      <c r="S110" s="262">
        <f t="shared" si="32"/>
        <v>0</v>
      </c>
      <c r="T110" s="41">
        <f t="shared" si="28"/>
        <v>0</v>
      </c>
      <c r="U110" s="20">
        <v>1</v>
      </c>
      <c r="V110" s="235">
        <v>27820</v>
      </c>
      <c r="W110" s="216"/>
      <c r="X110" s="216"/>
      <c r="Y110" s="216"/>
      <c r="Z110" s="216"/>
      <c r="AA110" s="216"/>
      <c r="AB110" s="216"/>
      <c r="AC110" s="216"/>
      <c r="AD110" s="216"/>
      <c r="AE110" s="20"/>
      <c r="AF110" s="216"/>
      <c r="AG110" s="321">
        <f t="shared" si="27"/>
        <v>0</v>
      </c>
      <c r="AH110" s="216"/>
      <c r="AI110" s="216"/>
      <c r="AJ110" s="216"/>
      <c r="AK110" s="325">
        <f t="shared" si="34"/>
        <v>27820</v>
      </c>
      <c r="AL110" s="262">
        <f t="shared" si="35"/>
        <v>27820</v>
      </c>
      <c r="AM110" s="79">
        <f t="shared" si="36"/>
        <v>27820</v>
      </c>
      <c r="AN110" s="79">
        <f t="shared" si="31"/>
        <v>27820</v>
      </c>
      <c r="AO110" s="216"/>
      <c r="AP110" s="216"/>
      <c r="AQ110" s="235"/>
      <c r="AR110" s="235"/>
      <c r="AS110" s="235"/>
      <c r="AT110" s="235"/>
      <c r="AU110" s="235"/>
      <c r="AV110" s="235"/>
      <c r="AW110" s="235"/>
      <c r="AX110" s="235"/>
      <c r="AY110" s="235"/>
      <c r="AZ110" s="216"/>
      <c r="BA110" s="216"/>
      <c r="BB110" s="216"/>
      <c r="BC110" s="216"/>
      <c r="BD110" s="216"/>
      <c r="BE110" s="216"/>
      <c r="BF110" s="216"/>
      <c r="BG110" s="216"/>
    </row>
    <row r="111" spans="1:59" s="35" customFormat="1" x14ac:dyDescent="0.25">
      <c r="A111" s="47">
        <v>110</v>
      </c>
      <c r="B111" s="113">
        <v>46004</v>
      </c>
      <c r="C111" s="47" t="s">
        <v>446</v>
      </c>
      <c r="D111" s="47" t="s">
        <v>79</v>
      </c>
      <c r="E111" s="47" t="s">
        <v>3</v>
      </c>
      <c r="F111" s="47" t="s">
        <v>9</v>
      </c>
      <c r="G111" s="47" t="s">
        <v>171</v>
      </c>
      <c r="H111" s="47">
        <v>740</v>
      </c>
      <c r="I111" s="47" t="s">
        <v>445</v>
      </c>
      <c r="J111" s="47"/>
      <c r="K111" s="47"/>
      <c r="L111" s="47"/>
      <c r="M111" s="47"/>
      <c r="N111" s="47"/>
      <c r="O111" s="47"/>
      <c r="P111" s="47"/>
      <c r="Q111" s="47"/>
      <c r="R111" s="43">
        <f t="shared" si="33"/>
        <v>0</v>
      </c>
      <c r="S111" s="41">
        <f t="shared" si="32"/>
        <v>0</v>
      </c>
      <c r="T111" s="41">
        <f t="shared" si="28"/>
        <v>0</v>
      </c>
      <c r="U111" s="49">
        <v>800</v>
      </c>
      <c r="V111" s="47">
        <f>105+3</f>
        <v>108</v>
      </c>
      <c r="W111" s="47">
        <v>0</v>
      </c>
      <c r="X111" s="47"/>
      <c r="Y111" s="47"/>
      <c r="Z111" s="47"/>
      <c r="AA111" s="47"/>
      <c r="AB111" s="47"/>
      <c r="AC111" s="47"/>
      <c r="AD111" s="47"/>
      <c r="AE111" s="49"/>
      <c r="AF111" s="47"/>
      <c r="AG111" s="316">
        <f t="shared" si="27"/>
        <v>0</v>
      </c>
      <c r="AH111" s="47"/>
      <c r="AI111" s="47"/>
      <c r="AJ111" s="47"/>
      <c r="AK111" s="325">
        <f t="shared" si="34"/>
        <v>108</v>
      </c>
      <c r="AL111" s="41">
        <f t="shared" si="35"/>
        <v>86400</v>
      </c>
      <c r="AM111" s="32">
        <f t="shared" si="36"/>
        <v>86400</v>
      </c>
      <c r="AN111" s="32">
        <f t="shared" si="31"/>
        <v>86400</v>
      </c>
      <c r="AO111" s="47"/>
      <c r="AP111" s="47"/>
      <c r="AQ111" s="84">
        <f>AN111*10%</f>
        <v>8640</v>
      </c>
      <c r="AR111" s="48"/>
      <c r="AS111" s="48"/>
      <c r="AT111" s="48"/>
      <c r="AU111" s="48"/>
      <c r="AV111" s="48"/>
      <c r="AW111" s="48"/>
      <c r="AX111" s="48"/>
      <c r="AY111" s="48"/>
      <c r="AZ111" s="47"/>
      <c r="BA111" s="47"/>
      <c r="BB111" s="47"/>
      <c r="BC111" s="47"/>
      <c r="BD111" s="47"/>
      <c r="BE111" s="47"/>
      <c r="BF111" s="47"/>
      <c r="BG111" s="47"/>
    </row>
    <row r="112" spans="1:59" x14ac:dyDescent="0.25">
      <c r="A112" s="216">
        <v>111</v>
      </c>
      <c r="B112" s="265">
        <v>45969</v>
      </c>
      <c r="C112" s="216" t="s">
        <v>447</v>
      </c>
      <c r="D112" s="216" t="s">
        <v>221</v>
      </c>
      <c r="E112" s="216" t="s">
        <v>11</v>
      </c>
      <c r="F112" s="216" t="s">
        <v>17</v>
      </c>
      <c r="G112" s="216" t="s">
        <v>171</v>
      </c>
      <c r="H112" s="216">
        <v>763</v>
      </c>
      <c r="I112" s="216" t="s">
        <v>448</v>
      </c>
      <c r="J112" s="216"/>
      <c r="K112" s="216"/>
      <c r="L112" s="216"/>
      <c r="M112" s="216"/>
      <c r="N112" s="216"/>
      <c r="O112" s="216"/>
      <c r="P112" s="216"/>
      <c r="Q112" s="216"/>
      <c r="R112" s="12">
        <f t="shared" si="33"/>
        <v>0</v>
      </c>
      <c r="S112" s="262">
        <f t="shared" si="32"/>
        <v>0</v>
      </c>
      <c r="T112" s="41">
        <f t="shared" si="28"/>
        <v>0</v>
      </c>
      <c r="U112" s="20">
        <v>50</v>
      </c>
      <c r="V112" s="216">
        <v>89</v>
      </c>
      <c r="W112" s="216"/>
      <c r="X112" s="216">
        <v>750</v>
      </c>
      <c r="Y112" s="216"/>
      <c r="Z112" s="216"/>
      <c r="AA112" s="216"/>
      <c r="AB112" s="216"/>
      <c r="AC112" s="216"/>
      <c r="AD112" s="216"/>
      <c r="AE112" s="20"/>
      <c r="AF112" s="216"/>
      <c r="AG112" s="321">
        <f t="shared" si="27"/>
        <v>0</v>
      </c>
      <c r="AH112" s="216"/>
      <c r="AI112" s="216"/>
      <c r="AJ112" s="216"/>
      <c r="AK112" s="325">
        <f t="shared" si="34"/>
        <v>89</v>
      </c>
      <c r="AL112" s="262">
        <f t="shared" si="35"/>
        <v>4450</v>
      </c>
      <c r="AM112" s="79">
        <f t="shared" si="36"/>
        <v>5200</v>
      </c>
      <c r="AN112" s="79">
        <f t="shared" si="31"/>
        <v>5200</v>
      </c>
      <c r="AO112" s="216"/>
      <c r="AP112" s="216"/>
      <c r="AQ112" s="130"/>
      <c r="AR112" s="235"/>
      <c r="AS112" s="235"/>
      <c r="AT112" s="341">
        <f>AN112*10%</f>
        <v>520</v>
      </c>
      <c r="AU112" s="235"/>
      <c r="AV112" s="235"/>
      <c r="AW112" s="235"/>
      <c r="AX112" s="235"/>
      <c r="AY112" s="235"/>
      <c r="AZ112" s="216"/>
      <c r="BA112" s="216"/>
      <c r="BB112" s="216"/>
      <c r="BC112" s="216"/>
      <c r="BD112" s="216"/>
      <c r="BE112" s="216"/>
      <c r="BF112" s="216"/>
      <c r="BG112" s="216"/>
    </row>
    <row r="113" spans="1:59" s="35" customFormat="1" x14ac:dyDescent="0.25">
      <c r="A113" s="47">
        <v>112</v>
      </c>
      <c r="B113" s="113">
        <v>45969</v>
      </c>
      <c r="C113" s="47" t="s">
        <v>450</v>
      </c>
      <c r="D113" s="47" t="s">
        <v>16</v>
      </c>
      <c r="E113" s="47" t="s">
        <v>11</v>
      </c>
      <c r="F113" s="47" t="s">
        <v>17</v>
      </c>
      <c r="G113" s="47" t="s">
        <v>171</v>
      </c>
      <c r="H113" s="47">
        <v>764</v>
      </c>
      <c r="I113" s="47" t="s">
        <v>451</v>
      </c>
      <c r="J113" s="47"/>
      <c r="K113" s="47"/>
      <c r="L113" s="47"/>
      <c r="M113" s="47"/>
      <c r="N113" s="47"/>
      <c r="O113" s="47"/>
      <c r="P113" s="47"/>
      <c r="Q113" s="47"/>
      <c r="R113" s="43">
        <f t="shared" si="33"/>
        <v>0</v>
      </c>
      <c r="S113" s="41">
        <f t="shared" si="32"/>
        <v>0</v>
      </c>
      <c r="T113" s="41">
        <f t="shared" si="28"/>
        <v>0</v>
      </c>
      <c r="U113" s="49">
        <v>92</v>
      </c>
      <c r="V113" s="47">
        <v>45</v>
      </c>
      <c r="W113" s="47"/>
      <c r="X113" s="47">
        <v>750</v>
      </c>
      <c r="Y113" s="47"/>
      <c r="Z113" s="47"/>
      <c r="AA113" s="47"/>
      <c r="AB113" s="47"/>
      <c r="AC113" s="47"/>
      <c r="AD113" s="47"/>
      <c r="AE113" s="49"/>
      <c r="AF113" s="47"/>
      <c r="AG113" s="321">
        <f t="shared" si="27"/>
        <v>0</v>
      </c>
      <c r="AH113" s="47"/>
      <c r="AI113" s="47"/>
      <c r="AJ113" s="47"/>
      <c r="AK113" s="43">
        <f t="shared" si="34"/>
        <v>45</v>
      </c>
      <c r="AL113" s="41">
        <f t="shared" si="35"/>
        <v>4140</v>
      </c>
      <c r="AM113" s="32">
        <f t="shared" si="36"/>
        <v>4890</v>
      </c>
      <c r="AN113" s="32">
        <f t="shared" si="31"/>
        <v>4890</v>
      </c>
      <c r="AO113" s="47"/>
      <c r="AP113" s="47"/>
      <c r="AQ113" s="48"/>
      <c r="AR113" s="48"/>
      <c r="AS113" s="48"/>
      <c r="AT113" s="48"/>
      <c r="AU113" s="48"/>
      <c r="AV113" s="48"/>
      <c r="AW113" s="48"/>
      <c r="AX113" s="48"/>
      <c r="AY113" s="48"/>
      <c r="AZ113" s="47"/>
      <c r="BA113" s="47"/>
      <c r="BB113" s="47"/>
      <c r="BC113" s="47"/>
      <c r="BD113" s="47"/>
      <c r="BE113" s="47"/>
      <c r="BF113" s="47"/>
      <c r="BG113" s="47"/>
    </row>
    <row r="114" spans="1:59" x14ac:dyDescent="0.25">
      <c r="A114" s="216">
        <v>113</v>
      </c>
      <c r="B114" s="265">
        <v>45972</v>
      </c>
      <c r="C114" s="216" t="s">
        <v>452</v>
      </c>
      <c r="D114" s="216" t="s">
        <v>251</v>
      </c>
      <c r="E114" s="216" t="s">
        <v>3</v>
      </c>
      <c r="F114" s="216" t="s">
        <v>252</v>
      </c>
      <c r="G114" s="216" t="s">
        <v>171</v>
      </c>
      <c r="H114" s="216"/>
      <c r="I114" s="216" t="s">
        <v>444</v>
      </c>
      <c r="J114" s="216"/>
      <c r="K114" s="216"/>
      <c r="L114" s="216"/>
      <c r="M114" s="216"/>
      <c r="N114" s="216"/>
      <c r="O114" s="216"/>
      <c r="P114" s="216"/>
      <c r="Q114" s="216"/>
      <c r="R114" s="12">
        <f t="shared" ref="R114:R115" si="37">K114+L114</f>
        <v>0</v>
      </c>
      <c r="S114" s="262">
        <f t="shared" ref="S114:S115" si="38">(K114+L114)*U114</f>
        <v>0</v>
      </c>
      <c r="T114" s="41">
        <f t="shared" ref="T114:T115" si="39">S114+P114+O114+N114+M114</f>
        <v>0</v>
      </c>
      <c r="U114" s="20">
        <v>1</v>
      </c>
      <c r="V114" s="216">
        <v>13862.85</v>
      </c>
      <c r="W114" s="216"/>
      <c r="X114" s="216"/>
      <c r="Y114" s="216"/>
      <c r="Z114" s="216"/>
      <c r="AA114" s="216"/>
      <c r="AB114" s="216"/>
      <c r="AC114" s="216"/>
      <c r="AD114" s="216"/>
      <c r="AE114" s="20"/>
      <c r="AF114" s="216"/>
      <c r="AG114" s="321">
        <f t="shared" si="27"/>
        <v>0</v>
      </c>
      <c r="AH114" s="216"/>
      <c r="AI114" s="216"/>
      <c r="AJ114" s="216"/>
      <c r="AK114" s="325">
        <f t="shared" si="34"/>
        <v>13862.85</v>
      </c>
      <c r="AL114" s="262">
        <f t="shared" si="35"/>
        <v>13862.85</v>
      </c>
      <c r="AM114" s="79">
        <f t="shared" si="36"/>
        <v>13862.85</v>
      </c>
      <c r="AN114" s="79">
        <f t="shared" si="31"/>
        <v>13862.85</v>
      </c>
      <c r="AO114" s="216"/>
      <c r="AP114" s="216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16"/>
      <c r="BA114" s="216"/>
      <c r="BB114" s="216"/>
      <c r="BC114" s="216"/>
      <c r="BD114" s="216"/>
      <c r="BE114" s="216"/>
      <c r="BF114" s="216"/>
      <c r="BG114" s="216"/>
    </row>
    <row r="115" spans="1:59" x14ac:dyDescent="0.25">
      <c r="A115" s="47">
        <v>114</v>
      </c>
      <c r="B115" s="265">
        <v>45974</v>
      </c>
      <c r="C115" s="216" t="s">
        <v>455</v>
      </c>
      <c r="D115" s="216" t="s">
        <v>221</v>
      </c>
      <c r="E115" s="216" t="s">
        <v>11</v>
      </c>
      <c r="F115" s="216" t="s">
        <v>274</v>
      </c>
      <c r="G115" s="216" t="s">
        <v>171</v>
      </c>
      <c r="H115" s="216">
        <v>769</v>
      </c>
      <c r="I115" s="216" t="s">
        <v>456</v>
      </c>
      <c r="J115" s="216"/>
      <c r="K115" s="216"/>
      <c r="L115" s="216"/>
      <c r="M115" s="216"/>
      <c r="N115" s="216"/>
      <c r="O115" s="216"/>
      <c r="P115" s="216"/>
      <c r="Q115" s="216"/>
      <c r="R115" s="12">
        <f t="shared" si="37"/>
        <v>0</v>
      </c>
      <c r="S115" s="262">
        <f t="shared" si="38"/>
        <v>0</v>
      </c>
      <c r="T115" s="41">
        <f t="shared" si="39"/>
        <v>0</v>
      </c>
      <c r="U115" s="20">
        <v>67</v>
      </c>
      <c r="V115" s="216">
        <v>55</v>
      </c>
      <c r="W115" s="216"/>
      <c r="X115" s="216">
        <v>250</v>
      </c>
      <c r="Y115" s="216"/>
      <c r="Z115" s="216"/>
      <c r="AA115" s="216"/>
      <c r="AB115" s="216"/>
      <c r="AC115" s="216"/>
      <c r="AD115" s="216"/>
      <c r="AE115" s="20"/>
      <c r="AF115" s="216"/>
      <c r="AG115" s="321">
        <f t="shared" si="27"/>
        <v>0</v>
      </c>
      <c r="AH115" s="216"/>
      <c r="AI115" s="216"/>
      <c r="AJ115" s="216"/>
      <c r="AK115" s="325">
        <f t="shared" ref="AK115:AK121" si="40">V115+W115</f>
        <v>55</v>
      </c>
      <c r="AL115" s="262">
        <f t="shared" ref="AL115:AL129" si="41">AK115*U115</f>
        <v>3685</v>
      </c>
      <c r="AM115" s="79">
        <f t="shared" ref="AM115:AM118" si="42">AL115+AJ115+AI115+AH115+AG115+AD115+AC115+AB115+AA115+Z115+Y115+X115</f>
        <v>3935</v>
      </c>
      <c r="AN115" s="79">
        <f t="shared" ref="AN115:AN118" si="43">AM115+T115</f>
        <v>3935</v>
      </c>
      <c r="AO115" s="216"/>
      <c r="AP115" s="216"/>
      <c r="AQ115" s="235"/>
      <c r="AR115" s="235"/>
      <c r="AS115" s="235"/>
      <c r="AT115" s="235"/>
      <c r="AU115" s="235"/>
      <c r="AV115" s="235"/>
      <c r="AW115" s="235"/>
      <c r="AX115" s="235"/>
      <c r="AY115" s="235"/>
      <c r="AZ115" s="216"/>
      <c r="BA115" s="216"/>
      <c r="BB115" s="216"/>
      <c r="BC115" s="216"/>
      <c r="BD115" s="216"/>
      <c r="BE115" s="216"/>
      <c r="BF115" s="216"/>
      <c r="BG115" s="216"/>
    </row>
    <row r="116" spans="1:59" s="35" customFormat="1" x14ac:dyDescent="0.25">
      <c r="A116" s="216">
        <v>115</v>
      </c>
      <c r="B116" s="113">
        <v>45976</v>
      </c>
      <c r="C116" s="47" t="s">
        <v>437</v>
      </c>
      <c r="D116" s="47" t="s">
        <v>221</v>
      </c>
      <c r="E116" s="47" t="s">
        <v>11</v>
      </c>
      <c r="F116" s="47" t="s">
        <v>17</v>
      </c>
      <c r="G116" s="47" t="s">
        <v>171</v>
      </c>
      <c r="H116" s="47">
        <v>770</v>
      </c>
      <c r="I116" s="47" t="s">
        <v>457</v>
      </c>
      <c r="J116" s="47"/>
      <c r="K116" s="47"/>
      <c r="L116" s="47"/>
      <c r="M116" s="47"/>
      <c r="N116" s="47"/>
      <c r="O116" s="47"/>
      <c r="P116" s="47"/>
      <c r="Q116" s="47"/>
      <c r="R116" s="43">
        <f t="shared" ref="R116:R118" si="44">K116+L116</f>
        <v>0</v>
      </c>
      <c r="S116" s="41">
        <f t="shared" ref="S116:S118" si="45">(K116+L116)*U116</f>
        <v>0</v>
      </c>
      <c r="T116" s="41">
        <f t="shared" ref="T116:T118" si="46">S116+P116+O116+N116+M116</f>
        <v>0</v>
      </c>
      <c r="U116" s="49">
        <v>60</v>
      </c>
      <c r="V116" s="47">
        <v>89</v>
      </c>
      <c r="W116" s="47"/>
      <c r="X116" s="47">
        <v>750</v>
      </c>
      <c r="Y116" s="47"/>
      <c r="Z116" s="47"/>
      <c r="AA116" s="47"/>
      <c r="AB116" s="47"/>
      <c r="AC116" s="47"/>
      <c r="AD116" s="47"/>
      <c r="AE116" s="49"/>
      <c r="AF116" s="47"/>
      <c r="AG116" s="316">
        <f t="shared" si="27"/>
        <v>0</v>
      </c>
      <c r="AH116" s="47"/>
      <c r="AI116" s="47"/>
      <c r="AJ116" s="47"/>
      <c r="AK116" s="325">
        <f t="shared" si="40"/>
        <v>89</v>
      </c>
      <c r="AL116" s="41">
        <f t="shared" si="41"/>
        <v>5340</v>
      </c>
      <c r="AM116" s="32">
        <f t="shared" si="42"/>
        <v>6090</v>
      </c>
      <c r="AN116" s="32">
        <f t="shared" si="43"/>
        <v>6090</v>
      </c>
      <c r="AO116" s="47"/>
      <c r="AP116" s="47"/>
      <c r="AQ116" s="48"/>
      <c r="AR116" s="48"/>
      <c r="AS116" s="48"/>
      <c r="AT116" s="48"/>
      <c r="AU116" s="48"/>
      <c r="AV116" s="48"/>
      <c r="AW116" s="48"/>
      <c r="AX116" s="48"/>
      <c r="AY116" s="48"/>
      <c r="AZ116" s="47"/>
      <c r="BA116" s="47"/>
      <c r="BB116" s="47"/>
      <c r="BC116" s="47"/>
      <c r="BD116" s="47"/>
      <c r="BE116" s="47"/>
      <c r="BF116" s="47"/>
      <c r="BG116" s="47"/>
    </row>
    <row r="117" spans="1:59" x14ac:dyDescent="0.25">
      <c r="A117" s="47">
        <v>116</v>
      </c>
      <c r="B117" s="265">
        <v>45993</v>
      </c>
      <c r="C117" s="216" t="s">
        <v>465</v>
      </c>
      <c r="D117" s="216" t="s">
        <v>125</v>
      </c>
      <c r="E117" s="216" t="s">
        <v>464</v>
      </c>
      <c r="F117" s="216" t="s">
        <v>463</v>
      </c>
      <c r="G117" s="216" t="s">
        <v>171</v>
      </c>
      <c r="H117" s="216">
        <v>771</v>
      </c>
      <c r="I117" s="216" t="s">
        <v>466</v>
      </c>
      <c r="J117" s="216"/>
      <c r="K117" s="216"/>
      <c r="L117" s="216"/>
      <c r="M117" s="216"/>
      <c r="N117" s="216"/>
      <c r="O117" s="216"/>
      <c r="P117" s="216"/>
      <c r="Q117" s="216"/>
      <c r="R117" s="12">
        <f t="shared" si="44"/>
        <v>0</v>
      </c>
      <c r="S117" s="262">
        <f t="shared" si="45"/>
        <v>0</v>
      </c>
      <c r="T117" s="41">
        <f t="shared" si="46"/>
        <v>0</v>
      </c>
      <c r="U117" s="20">
        <v>264</v>
      </c>
      <c r="V117" s="216">
        <v>12</v>
      </c>
      <c r="W117" s="216"/>
      <c r="X117" s="216"/>
      <c r="Y117" s="216"/>
      <c r="Z117" s="216"/>
      <c r="AA117" s="216"/>
      <c r="AB117" s="216"/>
      <c r="AC117" s="216"/>
      <c r="AD117" s="216"/>
      <c r="AE117" s="20"/>
      <c r="AF117" s="216"/>
      <c r="AG117" s="321">
        <f t="shared" si="27"/>
        <v>0</v>
      </c>
      <c r="AH117" s="216"/>
      <c r="AI117" s="216"/>
      <c r="AJ117" s="216"/>
      <c r="AK117" s="325">
        <f t="shared" si="40"/>
        <v>12</v>
      </c>
      <c r="AL117" s="262">
        <f t="shared" si="41"/>
        <v>3168</v>
      </c>
      <c r="AM117" s="79">
        <f t="shared" si="42"/>
        <v>3168</v>
      </c>
      <c r="AN117" s="79">
        <f t="shared" si="43"/>
        <v>3168</v>
      </c>
      <c r="AO117" s="216"/>
      <c r="AP117" s="216"/>
      <c r="AQ117" s="235"/>
      <c r="AR117" s="235"/>
      <c r="AS117" s="341">
        <f>AN117*10%</f>
        <v>316.8</v>
      </c>
      <c r="AT117" s="235"/>
      <c r="AU117" s="235"/>
      <c r="AV117" s="235"/>
      <c r="AW117" s="235"/>
      <c r="AX117" s="235"/>
      <c r="AY117" s="235"/>
      <c r="AZ117" s="216"/>
      <c r="BA117" s="216"/>
      <c r="BB117" s="216"/>
      <c r="BC117" s="216"/>
      <c r="BD117" s="216"/>
      <c r="BE117" s="216"/>
      <c r="BF117" s="216"/>
      <c r="BG117" s="216"/>
    </row>
    <row r="118" spans="1:59" s="35" customFormat="1" x14ac:dyDescent="0.25">
      <c r="A118" s="216">
        <v>117</v>
      </c>
      <c r="B118" s="113">
        <v>45995</v>
      </c>
      <c r="C118" s="47" t="s">
        <v>468</v>
      </c>
      <c r="D118" s="47" t="s">
        <v>295</v>
      </c>
      <c r="E118" s="47" t="s">
        <v>74</v>
      </c>
      <c r="F118" s="47" t="s">
        <v>217</v>
      </c>
      <c r="G118" s="47" t="s">
        <v>171</v>
      </c>
      <c r="H118" s="47">
        <v>749</v>
      </c>
      <c r="I118" s="47" t="s">
        <v>467</v>
      </c>
      <c r="J118" s="47"/>
      <c r="K118" s="47"/>
      <c r="L118" s="47"/>
      <c r="M118" s="47"/>
      <c r="N118" s="47"/>
      <c r="O118" s="47"/>
      <c r="P118" s="47"/>
      <c r="Q118" s="47"/>
      <c r="R118" s="43">
        <f t="shared" si="44"/>
        <v>0</v>
      </c>
      <c r="S118" s="41">
        <f t="shared" si="45"/>
        <v>0</v>
      </c>
      <c r="T118" s="41">
        <f t="shared" si="46"/>
        <v>0</v>
      </c>
      <c r="U118" s="49">
        <v>70</v>
      </c>
      <c r="V118" s="47">
        <v>89</v>
      </c>
      <c r="W118" s="47"/>
      <c r="X118" s="47">
        <v>2200</v>
      </c>
      <c r="Y118" s="47"/>
      <c r="Z118" s="47"/>
      <c r="AA118" s="47"/>
      <c r="AB118" s="47"/>
      <c r="AC118" s="47"/>
      <c r="AD118" s="47"/>
      <c r="AE118" s="49"/>
      <c r="AF118" s="47"/>
      <c r="AG118" s="316">
        <f t="shared" si="27"/>
        <v>0</v>
      </c>
      <c r="AH118" s="47"/>
      <c r="AI118" s="47"/>
      <c r="AJ118" s="47">
        <v>733</v>
      </c>
      <c r="AK118" s="43">
        <f t="shared" si="40"/>
        <v>89</v>
      </c>
      <c r="AL118" s="41">
        <f t="shared" si="41"/>
        <v>6230</v>
      </c>
      <c r="AM118" s="32">
        <f t="shared" si="42"/>
        <v>9163</v>
      </c>
      <c r="AN118" s="32">
        <f t="shared" si="43"/>
        <v>9163</v>
      </c>
      <c r="AO118" s="47"/>
      <c r="AP118" s="47"/>
      <c r="AQ118" s="48"/>
      <c r="AR118" s="48"/>
      <c r="AS118" s="48"/>
      <c r="AT118" s="48"/>
      <c r="AU118" s="48"/>
      <c r="AV118" s="48"/>
      <c r="AW118" s="48"/>
      <c r="AX118" s="48"/>
      <c r="AY118" s="48"/>
      <c r="AZ118" s="47"/>
      <c r="BA118" s="47"/>
      <c r="BB118" s="47"/>
      <c r="BC118" s="47"/>
      <c r="BD118" s="47"/>
      <c r="BE118" s="47"/>
      <c r="BF118" s="47"/>
      <c r="BG118" s="47"/>
    </row>
    <row r="119" spans="1:59" s="245" customFormat="1" x14ac:dyDescent="0.25">
      <c r="A119" s="47">
        <v>118</v>
      </c>
      <c r="B119" s="315">
        <v>45997</v>
      </c>
      <c r="C119" s="59" t="s">
        <v>469</v>
      </c>
      <c r="D119" s="59" t="s">
        <v>295</v>
      </c>
      <c r="E119" s="59" t="s">
        <v>74</v>
      </c>
      <c r="F119" s="59" t="s">
        <v>217</v>
      </c>
      <c r="G119" s="59" t="s">
        <v>171</v>
      </c>
      <c r="H119" s="59">
        <v>751</v>
      </c>
      <c r="I119" s="59" t="s">
        <v>295</v>
      </c>
      <c r="J119" s="59"/>
      <c r="K119" s="59">
        <v>27</v>
      </c>
      <c r="L119" s="59">
        <v>35</v>
      </c>
      <c r="M119" s="59">
        <v>0</v>
      </c>
      <c r="N119" s="59">
        <v>0</v>
      </c>
      <c r="O119" s="59">
        <v>0</v>
      </c>
      <c r="P119" s="59">
        <v>0</v>
      </c>
      <c r="Q119" s="59">
        <v>0</v>
      </c>
      <c r="R119" s="45">
        <f t="shared" ref="R119:R120" si="47">K119+L119</f>
        <v>62</v>
      </c>
      <c r="S119" s="45">
        <f t="shared" ref="S119:S120" si="48">(K119+L119)*U119</f>
        <v>9300</v>
      </c>
      <c r="T119" s="45">
        <f t="shared" ref="T119:T120" si="49">S119+P119+O119+N119+M119</f>
        <v>9300</v>
      </c>
      <c r="U119" s="49">
        <v>150</v>
      </c>
      <c r="V119" s="59">
        <v>140</v>
      </c>
      <c r="W119" s="59">
        <v>26</v>
      </c>
      <c r="X119" s="59">
        <v>7350</v>
      </c>
      <c r="Y119" s="59"/>
      <c r="Z119" s="59"/>
      <c r="AA119" s="59"/>
      <c r="AB119" s="59"/>
      <c r="AC119" s="59"/>
      <c r="AD119" s="59"/>
      <c r="AE119" s="59">
        <v>19</v>
      </c>
      <c r="AF119" s="59">
        <v>228</v>
      </c>
      <c r="AG119" s="34">
        <f>AE119*AF119+22*114</f>
        <v>6840</v>
      </c>
      <c r="AH119" s="59"/>
      <c r="AI119" s="59"/>
      <c r="AJ119" s="59"/>
      <c r="AK119" s="45">
        <f t="shared" si="40"/>
        <v>166</v>
      </c>
      <c r="AL119" s="45">
        <f t="shared" si="41"/>
        <v>24900</v>
      </c>
      <c r="AM119" s="34">
        <f t="shared" ref="AM119:AM121" si="50">AL119+AJ119+AI119+AH119+AG119+AD119+AC119+AB119+AA119+Z119+Y119+X119</f>
        <v>39090</v>
      </c>
      <c r="AN119" s="34">
        <f t="shared" ref="AN119:AN121" si="51">AM119+T119</f>
        <v>48390</v>
      </c>
      <c r="AO119" s="59"/>
      <c r="AP119" s="59"/>
      <c r="AQ119" s="45"/>
      <c r="AR119" s="45"/>
      <c r="AS119" s="45"/>
      <c r="AT119" s="45"/>
      <c r="AU119" s="45"/>
      <c r="AV119" s="45"/>
      <c r="AW119" s="45"/>
      <c r="AX119" s="45"/>
      <c r="AY119" s="45"/>
      <c r="AZ119" s="59"/>
      <c r="BA119" s="59"/>
      <c r="BB119" s="59"/>
      <c r="BC119" s="59"/>
      <c r="BD119" s="59"/>
      <c r="BE119" s="59"/>
      <c r="BF119" s="59"/>
      <c r="BG119" s="59"/>
    </row>
    <row r="120" spans="1:59" x14ac:dyDescent="0.25">
      <c r="A120" s="216">
        <v>119</v>
      </c>
      <c r="B120" s="265">
        <v>46008</v>
      </c>
      <c r="C120" s="267" t="s">
        <v>472</v>
      </c>
      <c r="D120" s="267" t="s">
        <v>125</v>
      </c>
      <c r="E120" s="267" t="s">
        <v>464</v>
      </c>
      <c r="F120" s="267" t="s">
        <v>463</v>
      </c>
      <c r="G120" s="267" t="s">
        <v>171</v>
      </c>
      <c r="H120" s="267">
        <v>772</v>
      </c>
      <c r="I120" s="267" t="s">
        <v>466</v>
      </c>
      <c r="J120" s="216"/>
      <c r="K120" s="216"/>
      <c r="L120" s="216"/>
      <c r="M120" s="216"/>
      <c r="N120" s="216"/>
      <c r="O120" s="216"/>
      <c r="P120" s="216"/>
      <c r="Q120" s="216"/>
      <c r="R120" s="12">
        <f t="shared" si="47"/>
        <v>0</v>
      </c>
      <c r="S120" s="262">
        <f t="shared" si="48"/>
        <v>0</v>
      </c>
      <c r="T120" s="41">
        <f t="shared" si="49"/>
        <v>0</v>
      </c>
      <c r="U120" s="20">
        <v>752</v>
      </c>
      <c r="V120" s="216"/>
      <c r="W120" s="216">
        <v>15</v>
      </c>
      <c r="X120" s="216"/>
      <c r="Y120" s="216"/>
      <c r="Z120" s="216"/>
      <c r="AA120" s="216"/>
      <c r="AB120" s="216"/>
      <c r="AC120" s="216"/>
      <c r="AD120" s="216"/>
      <c r="AE120" s="216"/>
      <c r="AF120" s="216"/>
      <c r="AG120" s="321">
        <f t="shared" si="27"/>
        <v>0</v>
      </c>
      <c r="AH120" s="216"/>
      <c r="AI120" s="216"/>
      <c r="AJ120" s="216"/>
      <c r="AK120" s="325">
        <f t="shared" si="40"/>
        <v>15</v>
      </c>
      <c r="AL120" s="262">
        <f t="shared" si="41"/>
        <v>11280</v>
      </c>
      <c r="AM120" s="79">
        <f t="shared" si="50"/>
        <v>11280</v>
      </c>
      <c r="AN120" s="79">
        <f t="shared" si="51"/>
        <v>11280</v>
      </c>
      <c r="AO120" s="216"/>
      <c r="AP120" s="216"/>
      <c r="AQ120" s="235"/>
      <c r="AR120" s="235"/>
      <c r="AS120" s="341">
        <f>AN121*10%</f>
        <v>3500</v>
      </c>
      <c r="AT120" s="235"/>
      <c r="AU120" s="235"/>
      <c r="AV120" s="235"/>
      <c r="AW120" s="235"/>
      <c r="AX120" s="235"/>
      <c r="AY120" s="235"/>
      <c r="AZ120" s="216"/>
      <c r="BA120" s="216"/>
      <c r="BB120" s="216"/>
      <c r="BC120" s="216"/>
      <c r="BD120" s="216"/>
      <c r="BE120" s="216"/>
      <c r="BF120" s="216"/>
      <c r="BG120" s="216"/>
    </row>
    <row r="121" spans="1:59" x14ac:dyDescent="0.25">
      <c r="A121" s="47">
        <v>120</v>
      </c>
      <c r="B121" s="265">
        <v>45992</v>
      </c>
      <c r="C121" s="216" t="s">
        <v>474</v>
      </c>
      <c r="D121" s="216" t="s">
        <v>16</v>
      </c>
      <c r="E121" s="216" t="s">
        <v>3</v>
      </c>
      <c r="F121" s="216" t="s">
        <v>217</v>
      </c>
      <c r="G121" s="216" t="s">
        <v>171</v>
      </c>
      <c r="H121" s="216">
        <v>777</v>
      </c>
      <c r="I121" s="216" t="s">
        <v>473</v>
      </c>
      <c r="J121" s="216"/>
      <c r="K121" s="216"/>
      <c r="L121" s="216"/>
      <c r="M121" s="216"/>
      <c r="N121" s="216"/>
      <c r="O121" s="216"/>
      <c r="P121" s="216"/>
      <c r="Q121" s="216"/>
      <c r="R121" s="12">
        <f t="shared" ref="R121:R130" si="52">K121+L121</f>
        <v>0</v>
      </c>
      <c r="S121" s="262">
        <f t="shared" ref="S121:S130" si="53">(K121+L121)*U121</f>
        <v>0</v>
      </c>
      <c r="T121" s="41">
        <f t="shared" ref="T121:T130" si="54">S121+P121+O121+N121+M121</f>
        <v>0</v>
      </c>
      <c r="U121" s="20">
        <v>250</v>
      </c>
      <c r="V121" s="216">
        <v>140</v>
      </c>
      <c r="W121" s="216"/>
      <c r="X121" s="216"/>
      <c r="Y121" s="216"/>
      <c r="Z121" s="216"/>
      <c r="AA121" s="216"/>
      <c r="AB121" s="216"/>
      <c r="AC121" s="216"/>
      <c r="AD121" s="216"/>
      <c r="AE121" s="216"/>
      <c r="AF121" s="216"/>
      <c r="AG121" s="321">
        <f t="shared" si="27"/>
        <v>0</v>
      </c>
      <c r="AH121" s="216"/>
      <c r="AI121" s="216"/>
      <c r="AJ121" s="216"/>
      <c r="AK121" s="325">
        <f t="shared" si="40"/>
        <v>140</v>
      </c>
      <c r="AL121" s="262">
        <f t="shared" si="41"/>
        <v>35000</v>
      </c>
      <c r="AM121" s="79">
        <f t="shared" si="50"/>
        <v>35000</v>
      </c>
      <c r="AN121" s="79">
        <f t="shared" si="51"/>
        <v>35000</v>
      </c>
      <c r="AO121" s="216"/>
      <c r="AP121" s="216"/>
      <c r="AQ121" s="235"/>
      <c r="AR121" s="235"/>
      <c r="AS121" s="235"/>
      <c r="AT121" s="341">
        <f>AN121*10%</f>
        <v>3500</v>
      </c>
      <c r="AU121" s="235"/>
      <c r="AV121" s="235"/>
      <c r="AW121" s="235"/>
      <c r="AX121" s="235"/>
      <c r="AY121" s="235"/>
      <c r="AZ121" s="216"/>
      <c r="BA121" s="216"/>
      <c r="BB121" s="216"/>
      <c r="BC121" s="216"/>
      <c r="BD121" s="216"/>
      <c r="BE121" s="216"/>
      <c r="BF121" s="216"/>
      <c r="BG121" s="216"/>
    </row>
    <row r="122" spans="1:59" x14ac:dyDescent="0.25">
      <c r="A122" s="216">
        <v>121</v>
      </c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12">
        <f t="shared" si="52"/>
        <v>0</v>
      </c>
      <c r="S122" s="262">
        <f t="shared" si="53"/>
        <v>0</v>
      </c>
      <c r="T122" s="41">
        <f t="shared" si="54"/>
        <v>0</v>
      </c>
      <c r="U122" s="20"/>
      <c r="V122" s="216"/>
      <c r="W122" s="216"/>
      <c r="X122" s="216"/>
      <c r="Y122" s="216"/>
      <c r="Z122" s="216"/>
      <c r="AA122" s="216"/>
      <c r="AB122" s="216"/>
      <c r="AC122" s="216"/>
      <c r="AD122" s="216"/>
      <c r="AE122" s="216"/>
      <c r="AF122" s="216"/>
      <c r="AG122" s="321">
        <f t="shared" si="27"/>
        <v>0</v>
      </c>
      <c r="AH122" s="216"/>
      <c r="AI122" s="216"/>
      <c r="AJ122" s="216"/>
      <c r="AK122" s="325">
        <f t="shared" ref="AK122:AK129" si="55">V122+W122</f>
        <v>0</v>
      </c>
      <c r="AL122" s="262">
        <f t="shared" si="41"/>
        <v>0</v>
      </c>
      <c r="AM122" s="79">
        <f t="shared" ref="AM122:AM129" si="56">AL122+AJ122+AI122+AH122+AG122+AD122+AC122+AB122+AA122+Z122+Y122+X122</f>
        <v>0</v>
      </c>
      <c r="AN122" s="79">
        <f t="shared" ref="AN122:AN129" si="57">AM122+T122</f>
        <v>0</v>
      </c>
      <c r="AO122" s="216"/>
      <c r="AP122" s="216"/>
      <c r="AQ122" s="235"/>
      <c r="AR122" s="235"/>
      <c r="AS122" s="235"/>
      <c r="AT122" s="235"/>
      <c r="AU122" s="235"/>
      <c r="AV122" s="235"/>
      <c r="AW122" s="235"/>
      <c r="AX122" s="235"/>
      <c r="AY122" s="235"/>
      <c r="AZ122" s="216"/>
      <c r="BA122" s="216"/>
      <c r="BB122" s="216"/>
      <c r="BC122" s="216"/>
      <c r="BD122" s="216"/>
      <c r="BE122" s="216"/>
      <c r="BF122" s="216"/>
      <c r="BG122" s="216"/>
    </row>
    <row r="123" spans="1:59" x14ac:dyDescent="0.25">
      <c r="A123" s="47">
        <v>122</v>
      </c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12">
        <f t="shared" si="52"/>
        <v>0</v>
      </c>
      <c r="S123" s="262">
        <f t="shared" si="53"/>
        <v>0</v>
      </c>
      <c r="T123" s="41">
        <f t="shared" si="54"/>
        <v>0</v>
      </c>
      <c r="U123" s="20"/>
      <c r="V123" s="216"/>
      <c r="W123" s="216"/>
      <c r="X123" s="216"/>
      <c r="Y123" s="216"/>
      <c r="Z123" s="216"/>
      <c r="AA123" s="216"/>
      <c r="AB123" s="216"/>
      <c r="AC123" s="216"/>
      <c r="AD123" s="216"/>
      <c r="AE123" s="216"/>
      <c r="AF123" s="216"/>
      <c r="AG123" s="321">
        <f t="shared" si="27"/>
        <v>0</v>
      </c>
      <c r="AH123" s="216"/>
      <c r="AI123" s="216"/>
      <c r="AJ123" s="216"/>
      <c r="AK123" s="325">
        <f t="shared" si="55"/>
        <v>0</v>
      </c>
      <c r="AL123" s="262">
        <f t="shared" si="41"/>
        <v>0</v>
      </c>
      <c r="AM123" s="79">
        <f t="shared" si="56"/>
        <v>0</v>
      </c>
      <c r="AN123" s="79">
        <f t="shared" si="57"/>
        <v>0</v>
      </c>
      <c r="AO123" s="216"/>
      <c r="AP123" s="216"/>
      <c r="AQ123" s="235"/>
      <c r="AR123" s="235"/>
      <c r="AS123" s="235"/>
      <c r="AT123" s="235"/>
      <c r="AU123" s="235"/>
      <c r="AV123" s="235"/>
      <c r="AW123" s="235"/>
      <c r="AX123" s="235"/>
      <c r="AY123" s="235"/>
      <c r="AZ123" s="216"/>
      <c r="BA123" s="216"/>
      <c r="BB123" s="216"/>
      <c r="BC123" s="216"/>
      <c r="BD123" s="216"/>
      <c r="BE123" s="216"/>
      <c r="BF123" s="216"/>
      <c r="BG123" s="216"/>
    </row>
    <row r="124" spans="1:59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2">
        <f t="shared" si="52"/>
        <v>0</v>
      </c>
      <c r="S124" s="78">
        <f t="shared" si="53"/>
        <v>0</v>
      </c>
      <c r="T124" s="88">
        <f t="shared" si="54"/>
        <v>0</v>
      </c>
      <c r="U124" s="217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23">
        <f t="shared" si="27"/>
        <v>0</v>
      </c>
      <c r="AH124" s="1"/>
      <c r="AI124" s="1"/>
      <c r="AJ124" s="1"/>
      <c r="AK124" s="107">
        <f t="shared" si="55"/>
        <v>0</v>
      </c>
      <c r="AL124" s="78">
        <f t="shared" si="41"/>
        <v>0</v>
      </c>
      <c r="AM124" s="79">
        <f t="shared" si="56"/>
        <v>0</v>
      </c>
      <c r="AN124" s="79">
        <f t="shared" si="57"/>
        <v>0</v>
      </c>
      <c r="AO124" s="1"/>
      <c r="AP124" s="1"/>
      <c r="AQ124" s="21"/>
      <c r="AR124" s="21"/>
      <c r="AS124" s="21"/>
      <c r="AT124" s="21"/>
      <c r="AU124" s="21"/>
      <c r="AV124" s="21"/>
      <c r="AW124" s="21"/>
      <c r="AX124" s="21"/>
      <c r="AY124" s="21"/>
      <c r="AZ124" s="1"/>
      <c r="BA124" s="1"/>
      <c r="BB124" s="1"/>
      <c r="BC124" s="1"/>
      <c r="BD124" s="1"/>
      <c r="BE124" s="1"/>
      <c r="BF124" s="1"/>
      <c r="BG124" s="1"/>
    </row>
    <row r="125" spans="1:5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2">
        <f t="shared" si="52"/>
        <v>0</v>
      </c>
      <c r="S125" s="78">
        <f t="shared" si="53"/>
        <v>0</v>
      </c>
      <c r="T125" s="88">
        <f t="shared" si="54"/>
        <v>0</v>
      </c>
      <c r="U125" s="217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23">
        <f t="shared" si="27"/>
        <v>0</v>
      </c>
      <c r="AH125" s="1"/>
      <c r="AI125" s="1"/>
      <c r="AJ125" s="1"/>
      <c r="AK125" s="107">
        <f t="shared" si="55"/>
        <v>0</v>
      </c>
      <c r="AL125" s="78">
        <f t="shared" si="41"/>
        <v>0</v>
      </c>
      <c r="AM125" s="79">
        <f t="shared" si="56"/>
        <v>0</v>
      </c>
      <c r="AN125" s="79">
        <f t="shared" si="57"/>
        <v>0</v>
      </c>
      <c r="AO125" s="1"/>
      <c r="AP125" s="1"/>
      <c r="AQ125" s="21"/>
      <c r="AR125" s="21"/>
      <c r="AS125" s="21"/>
      <c r="AT125" s="21"/>
      <c r="AU125" s="21"/>
      <c r="AV125" s="21"/>
      <c r="AW125" s="21"/>
      <c r="AX125" s="21"/>
      <c r="AY125" s="21"/>
      <c r="AZ125" s="1"/>
      <c r="BA125" s="1"/>
      <c r="BB125" s="1"/>
      <c r="BC125" s="1"/>
      <c r="BD125" s="1"/>
      <c r="BE125" s="1"/>
      <c r="BF125" s="1"/>
      <c r="BG125" s="1"/>
    </row>
    <row r="126" spans="1:59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2">
        <f t="shared" si="52"/>
        <v>0</v>
      </c>
      <c r="S126" s="78">
        <f t="shared" si="53"/>
        <v>0</v>
      </c>
      <c r="T126" s="88">
        <f t="shared" si="54"/>
        <v>0</v>
      </c>
      <c r="U126" s="217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23">
        <f t="shared" si="27"/>
        <v>0</v>
      </c>
      <c r="AH126" s="1"/>
      <c r="AI126" s="1"/>
      <c r="AJ126" s="1"/>
      <c r="AK126" s="107">
        <f t="shared" si="55"/>
        <v>0</v>
      </c>
      <c r="AL126" s="78">
        <f t="shared" si="41"/>
        <v>0</v>
      </c>
      <c r="AM126" s="79">
        <f t="shared" si="56"/>
        <v>0</v>
      </c>
      <c r="AN126" s="79">
        <f t="shared" si="57"/>
        <v>0</v>
      </c>
      <c r="AO126" s="1"/>
      <c r="AP126" s="1"/>
      <c r="AQ126" s="21"/>
      <c r="AR126" s="21"/>
      <c r="AS126" s="21"/>
      <c r="AT126" s="21"/>
      <c r="AU126" s="21"/>
      <c r="AV126" s="21"/>
      <c r="AW126" s="21"/>
      <c r="AX126" s="21"/>
      <c r="AY126" s="21"/>
      <c r="AZ126" s="1"/>
      <c r="BA126" s="1"/>
      <c r="BB126" s="1"/>
      <c r="BC126" s="1"/>
      <c r="BD126" s="1"/>
      <c r="BE126" s="1"/>
      <c r="BF126" s="1"/>
      <c r="BG126" s="1"/>
    </row>
    <row r="127" spans="1:59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2">
        <f t="shared" si="52"/>
        <v>0</v>
      </c>
      <c r="S127" s="78">
        <f t="shared" si="53"/>
        <v>0</v>
      </c>
      <c r="T127" s="88">
        <f t="shared" si="54"/>
        <v>0</v>
      </c>
      <c r="U127" s="217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23">
        <f t="shared" si="27"/>
        <v>0</v>
      </c>
      <c r="AH127" s="1"/>
      <c r="AI127" s="1"/>
      <c r="AJ127" s="1"/>
      <c r="AK127" s="107">
        <f t="shared" si="55"/>
        <v>0</v>
      </c>
      <c r="AL127" s="78">
        <f t="shared" si="41"/>
        <v>0</v>
      </c>
      <c r="AM127" s="79">
        <f t="shared" si="56"/>
        <v>0</v>
      </c>
      <c r="AN127" s="79">
        <f t="shared" si="57"/>
        <v>0</v>
      </c>
      <c r="AO127" s="1"/>
      <c r="AP127" s="1"/>
      <c r="AQ127" s="21"/>
      <c r="AR127" s="21"/>
      <c r="AS127" s="21"/>
      <c r="AT127" s="21"/>
      <c r="AU127" s="21"/>
      <c r="AV127" s="21"/>
      <c r="AW127" s="21"/>
      <c r="AX127" s="21"/>
      <c r="AY127" s="21"/>
      <c r="AZ127" s="1"/>
      <c r="BA127" s="1"/>
      <c r="BB127" s="1"/>
      <c r="BC127" s="1"/>
      <c r="BD127" s="1"/>
      <c r="BE127" s="1"/>
      <c r="BF127" s="1"/>
      <c r="BG127" s="1"/>
    </row>
    <row r="128" spans="1:59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2">
        <f t="shared" si="52"/>
        <v>0</v>
      </c>
      <c r="S128" s="78">
        <f t="shared" si="53"/>
        <v>0</v>
      </c>
      <c r="T128" s="88">
        <f t="shared" si="54"/>
        <v>0</v>
      </c>
      <c r="U128" s="217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23">
        <f t="shared" si="27"/>
        <v>0</v>
      </c>
      <c r="AH128" s="1"/>
      <c r="AI128" s="1"/>
      <c r="AJ128" s="1"/>
      <c r="AK128" s="107">
        <f t="shared" si="55"/>
        <v>0</v>
      </c>
      <c r="AL128" s="78">
        <f t="shared" si="41"/>
        <v>0</v>
      </c>
      <c r="AM128" s="79">
        <f t="shared" si="56"/>
        <v>0</v>
      </c>
      <c r="AN128" s="79">
        <f t="shared" si="57"/>
        <v>0</v>
      </c>
      <c r="AO128" s="1"/>
      <c r="AP128" s="1"/>
      <c r="AQ128" s="21"/>
      <c r="AR128" s="21"/>
      <c r="AS128" s="21"/>
      <c r="AT128" s="21"/>
      <c r="AU128" s="21"/>
      <c r="AV128" s="21"/>
      <c r="AW128" s="21"/>
      <c r="AX128" s="21"/>
      <c r="AY128" s="21"/>
      <c r="AZ128" s="1"/>
      <c r="BA128" s="1"/>
      <c r="BB128" s="1"/>
      <c r="BC128" s="1"/>
      <c r="BD128" s="1"/>
      <c r="BE128" s="1"/>
      <c r="BF128" s="1"/>
      <c r="BG128" s="1"/>
    </row>
    <row r="129" spans="1:59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2">
        <f t="shared" si="52"/>
        <v>0</v>
      </c>
      <c r="S129" s="78">
        <f t="shared" si="53"/>
        <v>0</v>
      </c>
      <c r="T129" s="88">
        <f t="shared" si="54"/>
        <v>0</v>
      </c>
      <c r="U129" s="217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23">
        <f t="shared" si="27"/>
        <v>0</v>
      </c>
      <c r="AH129" s="1"/>
      <c r="AI129" s="1"/>
      <c r="AJ129" s="1"/>
      <c r="AK129" s="107">
        <f t="shared" si="55"/>
        <v>0</v>
      </c>
      <c r="AL129" s="78">
        <f t="shared" si="41"/>
        <v>0</v>
      </c>
      <c r="AM129" s="79">
        <f t="shared" si="56"/>
        <v>0</v>
      </c>
      <c r="AN129" s="79">
        <f t="shared" si="57"/>
        <v>0</v>
      </c>
      <c r="AO129" s="1"/>
      <c r="AP129" s="1"/>
      <c r="AQ129" s="21"/>
      <c r="AR129" s="21"/>
      <c r="AS129" s="21"/>
      <c r="AT129" s="21"/>
      <c r="AU129" s="21"/>
      <c r="AV129" s="21"/>
      <c r="AW129" s="21"/>
      <c r="AX129" s="21"/>
      <c r="AY129" s="21"/>
      <c r="AZ129" s="1"/>
      <c r="BA129" s="1"/>
      <c r="BB129" s="1"/>
      <c r="BC129" s="1"/>
      <c r="BD129" s="1"/>
      <c r="BE129" s="1"/>
      <c r="BF129" s="1"/>
      <c r="BG129" s="1"/>
    </row>
    <row r="130" spans="1:59" x14ac:dyDescent="0.25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  <c r="R130" s="311">
        <f t="shared" si="52"/>
        <v>0</v>
      </c>
      <c r="S130" s="312">
        <f t="shared" si="53"/>
        <v>0</v>
      </c>
      <c r="T130" s="313">
        <f t="shared" si="54"/>
        <v>0</v>
      </c>
      <c r="U130" s="314"/>
      <c r="V130" s="310"/>
      <c r="W130" s="310"/>
      <c r="X130" s="310"/>
      <c r="Y130" s="310"/>
      <c r="Z130" s="310"/>
      <c r="AA130" s="310"/>
      <c r="AB130" s="310"/>
      <c r="AC130" s="310"/>
      <c r="AD130" s="310"/>
      <c r="AE130" s="310"/>
      <c r="AF130" s="310"/>
      <c r="AG130" s="310"/>
      <c r="AH130" s="310"/>
      <c r="AI130" s="310"/>
      <c r="AJ130" s="310"/>
    </row>
  </sheetData>
  <autoFilter ref="B1:BG1" xr:uid="{CE52B1E5-8E47-4F53-BFAF-671DD6AA1A3F}"/>
  <pageMargins left="0.23622047244094491" right="0.23622047244094491" top="0.74803149606299213" bottom="0.74803149606299213" header="0.31496062992125984" footer="0.31496062992125984"/>
  <pageSetup paperSize="9" scale="70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A9D8-02D0-4510-92BD-AD214A522F84}">
  <dimension ref="A1:S104"/>
  <sheetViews>
    <sheetView topLeftCell="B54" zoomScale="73" zoomScaleNormal="73" workbookViewId="0">
      <selection activeCell="B79" sqref="B79"/>
    </sheetView>
  </sheetViews>
  <sheetFormatPr defaultColWidth="16.42578125" defaultRowHeight="16.5" customHeight="1" x14ac:dyDescent="0.25"/>
  <cols>
    <col min="2" max="2" width="20.5703125" customWidth="1"/>
    <col min="3" max="3" width="17.5703125" bestFit="1" customWidth="1"/>
    <col min="5" max="5" width="19" bestFit="1" customWidth="1"/>
    <col min="6" max="6" width="17.5703125" bestFit="1" customWidth="1"/>
    <col min="7" max="7" width="19" bestFit="1" customWidth="1"/>
    <col min="8" max="8" width="19.5703125" customWidth="1"/>
    <col min="9" max="12" width="17.5703125" bestFit="1" customWidth="1"/>
    <col min="14" max="14" width="19" bestFit="1" customWidth="1"/>
  </cols>
  <sheetData>
    <row r="1" spans="1:19" ht="16.5" customHeight="1" x14ac:dyDescent="0.3">
      <c r="A1" s="357" t="s">
        <v>362</v>
      </c>
      <c r="B1" s="133">
        <v>45658</v>
      </c>
      <c r="C1" s="133">
        <v>45659</v>
      </c>
      <c r="D1" s="134">
        <v>45660</v>
      </c>
      <c r="E1" s="135">
        <v>45661</v>
      </c>
      <c r="F1" s="136">
        <v>45662</v>
      </c>
      <c r="G1" s="133">
        <v>45663</v>
      </c>
      <c r="H1" s="133">
        <v>45664</v>
      </c>
      <c r="I1" s="133">
        <v>45665</v>
      </c>
      <c r="J1" s="133">
        <v>45666</v>
      </c>
      <c r="K1" s="134">
        <v>45667</v>
      </c>
      <c r="L1" s="135">
        <v>45668</v>
      </c>
      <c r="M1" s="136">
        <v>45669</v>
      </c>
      <c r="N1" s="133">
        <v>45670</v>
      </c>
      <c r="O1" s="137">
        <v>45671</v>
      </c>
      <c r="P1" s="133">
        <v>45672</v>
      </c>
      <c r="Q1" s="138"/>
      <c r="R1" s="139"/>
      <c r="S1" s="139"/>
    </row>
    <row r="2" spans="1:19" ht="16.5" customHeight="1" x14ac:dyDescent="0.3">
      <c r="A2" s="349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1">
        <f>500*95</f>
        <v>47500</v>
      </c>
      <c r="O2" s="142"/>
      <c r="P2" s="138"/>
      <c r="Q2" s="138"/>
      <c r="R2" s="139"/>
      <c r="S2" s="139"/>
    </row>
    <row r="3" spans="1:19" ht="16.5" customHeight="1" x14ac:dyDescent="0.3">
      <c r="A3" s="349"/>
      <c r="B3" s="133">
        <v>45673</v>
      </c>
      <c r="C3" s="134">
        <v>45674</v>
      </c>
      <c r="D3" s="135">
        <v>45675</v>
      </c>
      <c r="E3" s="143">
        <v>45676</v>
      </c>
      <c r="F3" s="133">
        <v>45677</v>
      </c>
      <c r="G3" s="133">
        <v>45678</v>
      </c>
      <c r="H3" s="133">
        <v>45679</v>
      </c>
      <c r="I3" s="133">
        <v>45680</v>
      </c>
      <c r="J3" s="134">
        <v>45681</v>
      </c>
      <c r="K3" s="135">
        <v>45682</v>
      </c>
      <c r="L3" s="136">
        <v>45683</v>
      </c>
      <c r="M3" s="133">
        <v>45684</v>
      </c>
      <c r="N3" s="133">
        <v>45685</v>
      </c>
      <c r="O3" s="144">
        <v>45686</v>
      </c>
      <c r="P3" s="133">
        <v>45321</v>
      </c>
      <c r="Q3" s="134">
        <v>45322</v>
      </c>
      <c r="R3" s="139"/>
      <c r="S3" s="139"/>
    </row>
    <row r="4" spans="1:19" ht="16.5" customHeight="1" x14ac:dyDescent="0.3">
      <c r="A4" s="350"/>
      <c r="B4" s="140"/>
      <c r="C4" s="140"/>
      <c r="D4" s="145">
        <f>116.66*359+65*80</f>
        <v>47080.94</v>
      </c>
      <c r="E4" s="140"/>
      <c r="F4" s="140"/>
      <c r="G4" s="140"/>
      <c r="H4" s="146"/>
      <c r="I4" s="140">
        <f>128*70</f>
        <v>8960</v>
      </c>
      <c r="J4" s="140"/>
      <c r="K4" s="140">
        <f>2000*120</f>
        <v>240000</v>
      </c>
      <c r="L4" s="140"/>
      <c r="M4" s="140"/>
      <c r="N4" s="145">
        <f>220*56.8</f>
        <v>12496</v>
      </c>
      <c r="O4" s="147">
        <f>700*60</f>
        <v>42000</v>
      </c>
      <c r="P4" s="138"/>
      <c r="Q4" s="138"/>
      <c r="R4" s="139"/>
      <c r="S4" s="139"/>
    </row>
    <row r="5" spans="1:19" ht="16.5" customHeight="1" x14ac:dyDescent="0.3">
      <c r="A5" s="353" t="s">
        <v>363</v>
      </c>
      <c r="B5" s="354"/>
      <c r="C5" s="354"/>
      <c r="D5" s="355" t="s">
        <v>364</v>
      </c>
      <c r="E5" s="343"/>
      <c r="F5" s="344"/>
      <c r="G5" s="148" t="s">
        <v>365</v>
      </c>
      <c r="H5" s="148" t="s">
        <v>366</v>
      </c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6.5" customHeight="1" x14ac:dyDescent="0.3">
      <c r="A6" s="346">
        <f>SUM(B2:P2,B4:Q4)</f>
        <v>398036.94</v>
      </c>
      <c r="B6" s="343"/>
      <c r="C6" s="344"/>
      <c r="D6" s="347">
        <v>126000</v>
      </c>
      <c r="E6" s="343"/>
      <c r="F6" s="344"/>
      <c r="G6" s="149">
        <f>A6*0.3</f>
        <v>119411.08199999999</v>
      </c>
      <c r="H6" s="150">
        <f>A6/(D6+G6)</f>
        <v>1.6219191764127425</v>
      </c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</row>
    <row r="7" spans="1:19" ht="16.5" customHeight="1" x14ac:dyDescent="0.3">
      <c r="A7" s="139"/>
      <c r="B7" s="139"/>
      <c r="C7" s="139"/>
      <c r="D7" s="139"/>
      <c r="E7" s="139"/>
      <c r="F7" s="139"/>
      <c r="G7" s="139"/>
      <c r="H7" s="151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</row>
    <row r="8" spans="1:19" ht="16.5" customHeight="1" x14ac:dyDescent="0.3">
      <c r="A8" s="357" t="s">
        <v>367</v>
      </c>
      <c r="B8" s="135">
        <v>45689</v>
      </c>
      <c r="C8" s="136">
        <v>45690</v>
      </c>
      <c r="D8" s="133">
        <v>45691</v>
      </c>
      <c r="E8" s="133">
        <v>45692</v>
      </c>
      <c r="F8" s="133">
        <v>45693</v>
      </c>
      <c r="G8" s="133">
        <v>45694</v>
      </c>
      <c r="H8" s="134">
        <v>45695</v>
      </c>
      <c r="I8" s="135">
        <v>45696</v>
      </c>
      <c r="J8" s="136">
        <v>45697</v>
      </c>
      <c r="K8" s="133">
        <v>45698</v>
      </c>
      <c r="L8" s="133">
        <v>45699</v>
      </c>
      <c r="M8" s="133">
        <v>45700</v>
      </c>
      <c r="N8" s="133">
        <v>45701</v>
      </c>
      <c r="O8" s="134">
        <v>45702</v>
      </c>
      <c r="P8" s="135">
        <v>45703</v>
      </c>
      <c r="Q8" s="136"/>
      <c r="R8" s="139"/>
      <c r="S8" s="139"/>
    </row>
    <row r="9" spans="1:19" ht="16.5" customHeight="1" x14ac:dyDescent="0.3">
      <c r="A9" s="349"/>
      <c r="B9" s="140">
        <f>924*103</f>
        <v>95172</v>
      </c>
      <c r="C9" s="140"/>
      <c r="D9" s="140"/>
      <c r="E9" s="140"/>
      <c r="F9" s="140"/>
      <c r="G9" s="140"/>
      <c r="H9" s="140"/>
      <c r="I9" s="140">
        <f>1432*114.75</f>
        <v>164322</v>
      </c>
      <c r="J9" s="140"/>
      <c r="K9" s="140"/>
      <c r="L9" s="140"/>
      <c r="M9" s="140"/>
      <c r="N9" s="140">
        <f>80*70</f>
        <v>5600</v>
      </c>
      <c r="O9" s="140"/>
      <c r="P9" s="139">
        <f>1000*70+580*90</f>
        <v>122200</v>
      </c>
      <c r="Q9" s="139"/>
      <c r="R9" s="139"/>
      <c r="S9" s="139"/>
    </row>
    <row r="10" spans="1:19" ht="16.5" customHeight="1" x14ac:dyDescent="0.3">
      <c r="A10" s="349"/>
      <c r="B10" s="136">
        <v>45704</v>
      </c>
      <c r="C10" s="133">
        <v>45705</v>
      </c>
      <c r="D10" s="133">
        <v>45706</v>
      </c>
      <c r="E10" s="133">
        <v>45707</v>
      </c>
      <c r="F10" s="133">
        <v>45708</v>
      </c>
      <c r="G10" s="134">
        <v>45709</v>
      </c>
      <c r="H10" s="135">
        <v>45710</v>
      </c>
      <c r="I10" s="136">
        <v>45711</v>
      </c>
      <c r="J10" s="133">
        <v>45712</v>
      </c>
      <c r="K10" s="133">
        <v>45713</v>
      </c>
      <c r="L10" s="133">
        <v>45714</v>
      </c>
      <c r="M10" s="133">
        <v>45715</v>
      </c>
      <c r="N10" s="134">
        <v>45716</v>
      </c>
      <c r="O10" s="133"/>
      <c r="P10" s="133"/>
      <c r="Q10" s="133"/>
      <c r="R10" s="139"/>
      <c r="S10" s="139"/>
    </row>
    <row r="11" spans="1:19" ht="16.5" customHeight="1" x14ac:dyDescent="0.3">
      <c r="A11" s="350"/>
      <c r="B11" s="140"/>
      <c r="C11" s="140"/>
      <c r="D11" s="140">
        <f>150*12</f>
        <v>1800</v>
      </c>
      <c r="E11" s="140"/>
      <c r="F11" s="140"/>
      <c r="G11" s="140"/>
      <c r="H11" s="152">
        <f>1800+99+45*135+1341*125+2000</f>
        <v>177599</v>
      </c>
      <c r="I11" s="140"/>
      <c r="J11" s="140"/>
      <c r="K11" s="140">
        <f>1592*82.9</f>
        <v>131976.80000000002</v>
      </c>
      <c r="L11" s="140"/>
      <c r="M11" s="140"/>
      <c r="N11" s="140"/>
      <c r="O11" s="139"/>
      <c r="P11" s="139"/>
      <c r="Q11" s="139"/>
      <c r="R11" s="139"/>
      <c r="S11" s="139"/>
    </row>
    <row r="12" spans="1:19" ht="16.5" customHeight="1" x14ac:dyDescent="0.3">
      <c r="A12" s="358" t="s">
        <v>363</v>
      </c>
      <c r="B12" s="343"/>
      <c r="C12" s="344"/>
      <c r="D12" s="355" t="s">
        <v>364</v>
      </c>
      <c r="E12" s="343"/>
      <c r="F12" s="344"/>
      <c r="G12" s="148" t="s">
        <v>365</v>
      </c>
      <c r="H12" s="148" t="s">
        <v>366</v>
      </c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</row>
    <row r="13" spans="1:19" ht="16.5" customHeight="1" x14ac:dyDescent="0.3">
      <c r="A13" s="346">
        <f>SUM(B9:P9,B11:Q11)</f>
        <v>698669.8</v>
      </c>
      <c r="B13" s="343"/>
      <c r="C13" s="344"/>
      <c r="D13" s="347">
        <v>126000</v>
      </c>
      <c r="E13" s="343"/>
      <c r="F13" s="344"/>
      <c r="G13" s="149">
        <f>A13*0.3</f>
        <v>209600.94</v>
      </c>
      <c r="H13" s="150">
        <f>A13/(D13+G13)</f>
        <v>2.0818469697969264</v>
      </c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</row>
    <row r="14" spans="1:19" ht="16.5" customHeight="1" x14ac:dyDescent="0.3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</row>
    <row r="15" spans="1:19" ht="16.5" customHeight="1" x14ac:dyDescent="0.3">
      <c r="A15" s="357" t="s">
        <v>368</v>
      </c>
      <c r="B15" s="135">
        <v>45717</v>
      </c>
      <c r="C15" s="136">
        <v>45718</v>
      </c>
      <c r="D15" s="133">
        <v>45719</v>
      </c>
      <c r="E15" s="133">
        <v>45720</v>
      </c>
      <c r="F15" s="133">
        <v>45721</v>
      </c>
      <c r="G15" s="133">
        <v>45722</v>
      </c>
      <c r="H15" s="134">
        <v>45723</v>
      </c>
      <c r="I15" s="135">
        <v>45724</v>
      </c>
      <c r="J15" s="136">
        <v>45725</v>
      </c>
      <c r="K15" s="133">
        <v>45726</v>
      </c>
      <c r="L15" s="133">
        <v>45727</v>
      </c>
      <c r="M15" s="133">
        <v>45728</v>
      </c>
      <c r="N15" s="133">
        <v>45729</v>
      </c>
      <c r="O15" s="134">
        <v>45730</v>
      </c>
      <c r="P15" s="135">
        <v>45731</v>
      </c>
      <c r="Q15" s="136"/>
      <c r="R15" s="139"/>
      <c r="S15" s="139"/>
    </row>
    <row r="16" spans="1:19" ht="16.5" customHeight="1" x14ac:dyDescent="0.3">
      <c r="A16" s="349"/>
      <c r="B16" s="140"/>
      <c r="C16" s="140"/>
      <c r="D16" s="140"/>
      <c r="E16" s="140"/>
      <c r="F16" s="140"/>
      <c r="G16" s="140"/>
      <c r="H16" s="140">
        <f>76*80</f>
        <v>6080</v>
      </c>
      <c r="I16" s="140">
        <f>120*50+576*113.96</f>
        <v>71640.959999999992</v>
      </c>
      <c r="J16" s="140"/>
      <c r="K16" s="140"/>
      <c r="L16" s="140"/>
      <c r="M16" s="140"/>
      <c r="N16" s="140"/>
      <c r="O16">
        <f>130*60</f>
        <v>7800</v>
      </c>
      <c r="P16" s="140">
        <f>671*100.77</f>
        <v>67616.67</v>
      </c>
      <c r="Q16" s="139"/>
      <c r="R16" s="139"/>
      <c r="S16" s="139"/>
    </row>
    <row r="17" spans="1:19" ht="16.5" customHeight="1" x14ac:dyDescent="0.3">
      <c r="A17" s="349"/>
      <c r="B17" s="136">
        <v>45732</v>
      </c>
      <c r="C17" s="133">
        <v>45733</v>
      </c>
      <c r="D17" s="133">
        <v>45734</v>
      </c>
      <c r="E17" s="133">
        <v>45735</v>
      </c>
      <c r="F17" s="133">
        <v>45736</v>
      </c>
      <c r="G17" s="134">
        <v>45737</v>
      </c>
      <c r="H17" s="135">
        <v>45738</v>
      </c>
      <c r="I17" s="136">
        <v>45739</v>
      </c>
      <c r="J17" s="133">
        <v>45740</v>
      </c>
      <c r="K17" s="133">
        <v>45741</v>
      </c>
      <c r="L17" s="133">
        <v>45742</v>
      </c>
      <c r="M17" s="133">
        <v>45743</v>
      </c>
      <c r="N17" s="134">
        <v>45744</v>
      </c>
      <c r="O17" s="135">
        <v>45745</v>
      </c>
      <c r="P17" s="136">
        <v>45746</v>
      </c>
      <c r="Q17" s="133">
        <v>45747</v>
      </c>
      <c r="R17" s="139"/>
      <c r="S17" s="139"/>
    </row>
    <row r="18" spans="1:19" ht="16.5" customHeight="1" x14ac:dyDescent="0.3">
      <c r="A18" s="350"/>
      <c r="B18" s="139"/>
      <c r="C18" s="140"/>
      <c r="D18" s="140"/>
      <c r="E18" s="140">
        <f>65*38.53846</f>
        <v>2504.9999000000003</v>
      </c>
      <c r="F18" s="140"/>
      <c r="G18" s="140"/>
      <c r="H18" s="146">
        <f>70*60</f>
        <v>4200</v>
      </c>
      <c r="I18" s="140"/>
      <c r="J18" s="140"/>
      <c r="K18" s="140"/>
      <c r="L18" s="140"/>
      <c r="M18" s="140">
        <v>4000</v>
      </c>
      <c r="N18" s="140"/>
      <c r="O18" s="146">
        <f>840*90</f>
        <v>75600</v>
      </c>
      <c r="P18" s="139"/>
      <c r="Q18" s="139"/>
      <c r="R18" s="139"/>
      <c r="S18" s="139"/>
    </row>
    <row r="19" spans="1:19" ht="16.5" customHeight="1" x14ac:dyDescent="0.3">
      <c r="A19" s="353" t="s">
        <v>363</v>
      </c>
      <c r="B19" s="354"/>
      <c r="C19" s="354"/>
      <c r="D19" s="355" t="s">
        <v>364</v>
      </c>
      <c r="E19" s="343"/>
      <c r="F19" s="344"/>
      <c r="G19" s="148" t="s">
        <v>365</v>
      </c>
      <c r="H19" s="148" t="s">
        <v>366</v>
      </c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</row>
    <row r="20" spans="1:19" ht="16.5" customHeight="1" x14ac:dyDescent="0.3">
      <c r="A20" s="346">
        <f>SUM(B16:P16,B18:Q18)</f>
        <v>239442.6299</v>
      </c>
      <c r="B20" s="343"/>
      <c r="C20" s="344"/>
      <c r="D20" s="347">
        <v>126000</v>
      </c>
      <c r="E20" s="343"/>
      <c r="F20" s="344"/>
      <c r="G20" s="149">
        <f>A20*0.3</f>
        <v>71832.788969999994</v>
      </c>
      <c r="H20" s="150">
        <f>A20/(D20+G20)</f>
        <v>1.2103283340776734</v>
      </c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</row>
    <row r="21" spans="1:19" ht="16.5" customHeight="1" x14ac:dyDescent="0.3">
      <c r="A21" s="13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</row>
    <row r="22" spans="1:19" ht="16.5" customHeight="1" x14ac:dyDescent="0.3">
      <c r="A22" s="357" t="s">
        <v>369</v>
      </c>
      <c r="B22" s="133">
        <v>45748</v>
      </c>
      <c r="C22" s="133">
        <v>45749</v>
      </c>
      <c r="D22" s="133">
        <v>45750</v>
      </c>
      <c r="E22" s="134">
        <v>45751</v>
      </c>
      <c r="F22" s="135">
        <v>45752</v>
      </c>
      <c r="G22" s="136">
        <v>45753</v>
      </c>
      <c r="H22" s="133">
        <v>45754</v>
      </c>
      <c r="I22" s="133">
        <v>45755</v>
      </c>
      <c r="J22" s="133">
        <v>45756</v>
      </c>
      <c r="K22" s="133">
        <v>45757</v>
      </c>
      <c r="L22" s="134">
        <v>45758</v>
      </c>
      <c r="M22" s="135">
        <v>45759</v>
      </c>
      <c r="N22" s="136">
        <v>45760</v>
      </c>
      <c r="O22" s="133">
        <v>45761</v>
      </c>
      <c r="P22" s="133">
        <v>45762</v>
      </c>
      <c r="Q22" s="139"/>
      <c r="R22" s="139"/>
      <c r="S22" s="139"/>
    </row>
    <row r="23" spans="1:19" ht="16.5" customHeight="1" x14ac:dyDescent="0.3">
      <c r="A23" s="349"/>
      <c r="B23" s="140"/>
      <c r="C23" s="140">
        <f>300*120</f>
        <v>36000</v>
      </c>
      <c r="D23" s="140"/>
      <c r="E23" s="140"/>
      <c r="F23" s="140">
        <f>110*523</f>
        <v>57530</v>
      </c>
      <c r="G23" s="140"/>
      <c r="H23" s="140"/>
      <c r="I23" s="140"/>
      <c r="J23" s="140"/>
      <c r="K23" s="140"/>
      <c r="L23" s="140"/>
      <c r="M23" s="140">
        <f>775*120+1712*143.14778+367*90</f>
        <v>371098.99936000002</v>
      </c>
      <c r="N23" s="140"/>
      <c r="O23" s="140"/>
      <c r="P23" s="139"/>
      <c r="Q23" s="139"/>
      <c r="R23" s="139"/>
      <c r="S23" s="139"/>
    </row>
    <row r="24" spans="1:19" ht="16.5" customHeight="1" x14ac:dyDescent="0.3">
      <c r="A24" s="349"/>
      <c r="B24" s="133">
        <v>45763</v>
      </c>
      <c r="C24" s="133">
        <v>45764</v>
      </c>
      <c r="D24" s="134">
        <v>45765</v>
      </c>
      <c r="E24" s="135">
        <v>45766</v>
      </c>
      <c r="F24" s="136">
        <v>45767</v>
      </c>
      <c r="G24" s="133">
        <v>45768</v>
      </c>
      <c r="H24" s="133">
        <v>45769</v>
      </c>
      <c r="I24" s="133">
        <v>45770</v>
      </c>
      <c r="J24" s="133">
        <v>45771</v>
      </c>
      <c r="K24" s="133">
        <v>45772</v>
      </c>
      <c r="L24" s="134">
        <v>45773</v>
      </c>
      <c r="M24" s="135">
        <v>45774</v>
      </c>
      <c r="N24" s="136">
        <v>45775</v>
      </c>
      <c r="O24" s="133">
        <v>45776</v>
      </c>
      <c r="P24" s="133">
        <v>45777</v>
      </c>
      <c r="Q24" s="133"/>
      <c r="R24" s="139"/>
      <c r="S24" s="139"/>
    </row>
    <row r="25" spans="1:19" ht="16.5" customHeight="1" x14ac:dyDescent="0.3">
      <c r="A25" s="350"/>
      <c r="B25" s="140"/>
      <c r="C25" s="140"/>
      <c r="D25" s="140"/>
      <c r="E25" s="140"/>
      <c r="F25" s="140"/>
      <c r="G25" s="140"/>
      <c r="H25" s="146"/>
      <c r="I25" s="140">
        <f>38*66</f>
        <v>2508</v>
      </c>
      <c r="J25" s="140">
        <f>10*49</f>
        <v>490</v>
      </c>
      <c r="K25" s="140"/>
      <c r="L25" s="140">
        <f>860*120+170*39</f>
        <v>109830</v>
      </c>
      <c r="M25" s="140"/>
      <c r="N25" s="140"/>
      <c r="O25" s="146">
        <v>1000</v>
      </c>
      <c r="P25" s="139"/>
      <c r="Q25" s="139"/>
      <c r="R25" s="139"/>
      <c r="S25" s="139"/>
    </row>
    <row r="26" spans="1:19" ht="16.5" customHeight="1" x14ac:dyDescent="0.3">
      <c r="A26" s="353" t="s">
        <v>363</v>
      </c>
      <c r="B26" s="354"/>
      <c r="C26" s="354"/>
      <c r="D26" s="355" t="s">
        <v>364</v>
      </c>
      <c r="E26" s="343"/>
      <c r="F26" s="344"/>
      <c r="G26" s="148" t="s">
        <v>365</v>
      </c>
      <c r="H26" s="148" t="s">
        <v>366</v>
      </c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</row>
    <row r="27" spans="1:19" ht="16.5" customHeight="1" x14ac:dyDescent="0.3">
      <c r="A27" s="346">
        <f>SUM(B23:P23,B25:Q25)</f>
        <v>578456.99936000002</v>
      </c>
      <c r="B27" s="343"/>
      <c r="C27" s="344"/>
      <c r="D27" s="347">
        <v>126000</v>
      </c>
      <c r="E27" s="343"/>
      <c r="F27" s="344"/>
      <c r="G27" s="149">
        <f>A27*0.3</f>
        <v>173537.099808</v>
      </c>
      <c r="H27" s="150">
        <f>A27/(D27+G27)</f>
        <v>1.9311697940949037</v>
      </c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</row>
    <row r="28" spans="1:19" ht="16.5" customHeight="1" x14ac:dyDescent="0.3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</row>
    <row r="29" spans="1:19" ht="16.5" customHeight="1" x14ac:dyDescent="0.3">
      <c r="A29" s="357" t="s">
        <v>370</v>
      </c>
      <c r="B29" s="133">
        <v>45778</v>
      </c>
      <c r="C29" s="133">
        <v>45779</v>
      </c>
      <c r="D29" s="134">
        <v>45780</v>
      </c>
      <c r="E29" s="135">
        <v>45781</v>
      </c>
      <c r="F29" s="136">
        <v>45782</v>
      </c>
      <c r="G29" s="133">
        <v>45783</v>
      </c>
      <c r="H29" s="133">
        <v>45784</v>
      </c>
      <c r="I29" s="133">
        <v>45785</v>
      </c>
      <c r="J29" s="134">
        <v>45786</v>
      </c>
      <c r="K29" s="135">
        <v>45787</v>
      </c>
      <c r="L29" s="136">
        <v>45788</v>
      </c>
      <c r="M29" s="133">
        <v>45789</v>
      </c>
      <c r="N29" s="133">
        <v>45790</v>
      </c>
      <c r="O29" s="133">
        <v>45791</v>
      </c>
      <c r="P29" s="133">
        <v>45792</v>
      </c>
      <c r="Q29" s="139"/>
      <c r="R29" s="139"/>
      <c r="S29" s="139"/>
    </row>
    <row r="30" spans="1:19" ht="16.5" customHeight="1" x14ac:dyDescent="0.3">
      <c r="A30" s="349"/>
      <c r="B30" s="140">
        <f>7500*72.14</f>
        <v>541050</v>
      </c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39"/>
      <c r="Q30" s="139"/>
      <c r="R30" s="139"/>
      <c r="S30" s="139"/>
    </row>
    <row r="31" spans="1:19" ht="16.5" customHeight="1" x14ac:dyDescent="0.3">
      <c r="A31" s="349"/>
      <c r="B31" s="134">
        <v>45793</v>
      </c>
      <c r="C31" s="135">
        <v>45794</v>
      </c>
      <c r="D31" s="136">
        <v>45795</v>
      </c>
      <c r="E31" s="133">
        <v>45796</v>
      </c>
      <c r="F31" s="133">
        <v>45797</v>
      </c>
      <c r="G31" s="133">
        <v>45798</v>
      </c>
      <c r="H31" s="133">
        <v>45799</v>
      </c>
      <c r="I31" s="134">
        <v>45800</v>
      </c>
      <c r="J31" s="135">
        <v>45801</v>
      </c>
      <c r="K31" s="136">
        <v>45802</v>
      </c>
      <c r="L31" s="133">
        <v>45803</v>
      </c>
      <c r="M31" s="133">
        <v>45804</v>
      </c>
      <c r="N31" s="133">
        <v>45805</v>
      </c>
      <c r="O31" s="133">
        <v>45806</v>
      </c>
      <c r="P31" s="134">
        <v>45807</v>
      </c>
      <c r="Q31" s="135">
        <v>45808</v>
      </c>
      <c r="R31" s="136"/>
      <c r="S31" s="139"/>
    </row>
    <row r="32" spans="1:19" ht="16.5" customHeight="1" x14ac:dyDescent="0.3">
      <c r="A32" s="350"/>
      <c r="B32" s="140"/>
      <c r="C32" s="140">
        <f>1600</f>
        <v>1600</v>
      </c>
      <c r="D32" s="140"/>
      <c r="E32" s="140">
        <f>21021.74/2</f>
        <v>10510.87</v>
      </c>
      <c r="F32" s="140">
        <f>21021.74/2</f>
        <v>10510.87</v>
      </c>
      <c r="G32" s="140"/>
      <c r="H32" s="146">
        <f>45*30</f>
        <v>1350</v>
      </c>
      <c r="I32" s="140">
        <f>45*65+3150+65*45</f>
        <v>9000</v>
      </c>
      <c r="J32" s="140"/>
      <c r="K32" s="140"/>
      <c r="L32" s="140"/>
      <c r="M32" s="140"/>
      <c r="N32" s="140"/>
      <c r="O32" s="146">
        <f>2300*119.35+1000</f>
        <v>275505</v>
      </c>
      <c r="P32" s="139"/>
      <c r="Q32" s="139"/>
      <c r="R32" s="139"/>
      <c r="S32" s="139"/>
    </row>
    <row r="33" spans="1:19" ht="16.5" customHeight="1" x14ac:dyDescent="0.3">
      <c r="A33" s="353" t="s">
        <v>363</v>
      </c>
      <c r="B33" s="354"/>
      <c r="C33" s="354"/>
      <c r="D33" s="355" t="s">
        <v>364</v>
      </c>
      <c r="E33" s="343"/>
      <c r="F33" s="344"/>
      <c r="G33" s="148" t="s">
        <v>365</v>
      </c>
      <c r="H33" s="148" t="s">
        <v>366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</row>
    <row r="34" spans="1:19" ht="16.5" customHeight="1" x14ac:dyDescent="0.3">
      <c r="A34" s="346">
        <f>SUM(B30:P30,B32:Q32)</f>
        <v>849526.74</v>
      </c>
      <c r="B34" s="343"/>
      <c r="C34" s="344"/>
      <c r="D34" s="347">
        <v>126000</v>
      </c>
      <c r="E34" s="343"/>
      <c r="F34" s="344"/>
      <c r="G34" s="149">
        <f>A34*0.3</f>
        <v>254858.022</v>
      </c>
      <c r="H34" s="150">
        <f>A34/(D34+G34)</f>
        <v>2.230560184970976</v>
      </c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</row>
    <row r="35" spans="1:19" ht="16.5" customHeight="1" x14ac:dyDescent="0.3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</row>
    <row r="36" spans="1:19" ht="16.5" customHeight="1" x14ac:dyDescent="0.3">
      <c r="A36" s="357" t="s">
        <v>371</v>
      </c>
      <c r="B36" s="136">
        <v>45809</v>
      </c>
      <c r="C36" s="133">
        <v>45810</v>
      </c>
      <c r="D36" s="133">
        <v>45811</v>
      </c>
      <c r="E36" s="133">
        <v>45812</v>
      </c>
      <c r="F36" s="133">
        <v>45813</v>
      </c>
      <c r="G36" s="134">
        <v>45814</v>
      </c>
      <c r="H36" s="135">
        <v>45815</v>
      </c>
      <c r="I36" s="136">
        <v>45816</v>
      </c>
      <c r="J36" s="133">
        <v>45817</v>
      </c>
      <c r="K36" s="133">
        <v>45818</v>
      </c>
      <c r="L36" s="133">
        <v>45819</v>
      </c>
      <c r="M36" s="133">
        <v>45820</v>
      </c>
      <c r="N36" s="134">
        <v>45821</v>
      </c>
      <c r="O36" s="135">
        <v>45822</v>
      </c>
      <c r="P36" s="136">
        <v>45823</v>
      </c>
      <c r="Q36" s="139"/>
      <c r="R36" s="139"/>
      <c r="S36" s="139"/>
    </row>
    <row r="37" spans="1:19" ht="16.5" customHeight="1" x14ac:dyDescent="0.3">
      <c r="A37" s="349"/>
      <c r="B37" s="140"/>
      <c r="C37" s="140"/>
      <c r="D37" s="140"/>
      <c r="E37" s="140"/>
      <c r="F37" s="140"/>
      <c r="G37" s="140">
        <f>4800/2</f>
        <v>2400</v>
      </c>
      <c r="H37" s="140">
        <f>4800/2+5528</f>
        <v>7928</v>
      </c>
      <c r="I37" s="140"/>
      <c r="J37" s="140"/>
      <c r="K37" s="140"/>
      <c r="L37" s="140">
        <f>140*15+189*10</f>
        <v>3990</v>
      </c>
      <c r="M37" s="140"/>
      <c r="N37" s="140"/>
      <c r="O37" s="140">
        <f>45*20</f>
        <v>900</v>
      </c>
      <c r="P37" s="139"/>
      <c r="Q37" s="139"/>
      <c r="R37" s="139"/>
      <c r="S37" s="139"/>
    </row>
    <row r="38" spans="1:19" ht="16.5" customHeight="1" x14ac:dyDescent="0.3">
      <c r="A38" s="349"/>
      <c r="B38" s="133">
        <v>45824</v>
      </c>
      <c r="C38" s="133">
        <v>45825</v>
      </c>
      <c r="D38" s="133">
        <v>45826</v>
      </c>
      <c r="E38" s="133">
        <v>45827</v>
      </c>
      <c r="F38" s="134">
        <v>45828</v>
      </c>
      <c r="G38" s="135">
        <v>45829</v>
      </c>
      <c r="H38" s="136">
        <v>45830</v>
      </c>
      <c r="I38" s="133">
        <v>45831</v>
      </c>
      <c r="J38" s="133">
        <v>45832</v>
      </c>
      <c r="K38" s="133">
        <v>45833</v>
      </c>
      <c r="L38" s="133">
        <v>45834</v>
      </c>
      <c r="M38" s="134">
        <v>45835</v>
      </c>
      <c r="N38" s="135">
        <v>45836</v>
      </c>
      <c r="O38" s="136">
        <v>45837</v>
      </c>
      <c r="P38" s="133">
        <v>45838</v>
      </c>
      <c r="Q38" s="133"/>
      <c r="R38" s="139"/>
      <c r="S38" s="139"/>
    </row>
    <row r="39" spans="1:19" ht="16.5" customHeight="1" x14ac:dyDescent="0.3">
      <c r="A39" s="350"/>
      <c r="B39" s="140"/>
      <c r="C39" s="140">
        <f>76*140</f>
        <v>10640</v>
      </c>
      <c r="D39" s="140"/>
      <c r="E39" s="140"/>
      <c r="F39" s="140"/>
      <c r="G39" s="140"/>
      <c r="H39" s="146"/>
      <c r="I39" s="140"/>
      <c r="J39" s="140"/>
      <c r="K39" s="140"/>
      <c r="L39" s="140">
        <f>490*39</f>
        <v>19110</v>
      </c>
      <c r="M39" s="140">
        <f>50*48+60*70</f>
        <v>6600</v>
      </c>
      <c r="N39" s="140">
        <f>96*49+81*89.9+60*46.67</f>
        <v>14786.100000000002</v>
      </c>
      <c r="O39" s="146"/>
      <c r="P39" s="139"/>
      <c r="Q39" s="139"/>
      <c r="R39" s="139"/>
      <c r="S39" s="139"/>
    </row>
    <row r="40" spans="1:19" ht="16.5" customHeight="1" x14ac:dyDescent="0.3">
      <c r="A40" s="353" t="s">
        <v>363</v>
      </c>
      <c r="B40" s="354"/>
      <c r="C40" s="354"/>
      <c r="D40" s="355" t="s">
        <v>364</v>
      </c>
      <c r="E40" s="343"/>
      <c r="F40" s="344"/>
      <c r="G40" s="148" t="s">
        <v>365</v>
      </c>
      <c r="H40" s="148" t="s">
        <v>366</v>
      </c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</row>
    <row r="41" spans="1:19" ht="16.5" customHeight="1" x14ac:dyDescent="0.3">
      <c r="A41" s="346">
        <f>SUM(B37:P37,B39:Q39)</f>
        <v>66354.100000000006</v>
      </c>
      <c r="B41" s="343"/>
      <c r="C41" s="344"/>
      <c r="D41" s="356">
        <v>126000</v>
      </c>
      <c r="E41" s="343"/>
      <c r="F41" s="344"/>
      <c r="G41" s="149">
        <f>A41*0.3</f>
        <v>19906.23</v>
      </c>
      <c r="H41" s="150">
        <f>A41/(D41+G41)</f>
        <v>0.45477221911634619</v>
      </c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</row>
    <row r="42" spans="1:19" ht="16.5" customHeight="1" x14ac:dyDescent="0.3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</row>
    <row r="43" spans="1:19" ht="16.5" customHeight="1" x14ac:dyDescent="0.3">
      <c r="A43" s="357" t="s">
        <v>372</v>
      </c>
      <c r="B43" s="133">
        <v>45839</v>
      </c>
      <c r="C43" s="133">
        <v>45840</v>
      </c>
      <c r="D43" s="133">
        <v>45841</v>
      </c>
      <c r="E43" s="134">
        <v>45842</v>
      </c>
      <c r="F43" s="135">
        <v>45843</v>
      </c>
      <c r="G43" s="136">
        <v>45844</v>
      </c>
      <c r="H43" s="133">
        <v>45845</v>
      </c>
      <c r="I43" s="133">
        <v>45846</v>
      </c>
      <c r="J43" s="133">
        <v>45847</v>
      </c>
      <c r="K43" s="133">
        <v>45848</v>
      </c>
      <c r="L43" s="134">
        <v>45849</v>
      </c>
      <c r="M43" s="135">
        <v>45850</v>
      </c>
      <c r="N43" s="136">
        <v>45851</v>
      </c>
      <c r="O43" s="133">
        <v>45852</v>
      </c>
      <c r="P43" s="133">
        <v>45853</v>
      </c>
      <c r="Q43" s="139"/>
      <c r="R43" s="139"/>
      <c r="S43" s="139"/>
    </row>
    <row r="44" spans="1:19" ht="16.5" customHeight="1" x14ac:dyDescent="0.3">
      <c r="A44" s="349"/>
      <c r="B44" s="140"/>
      <c r="C44" s="140"/>
      <c r="D44" s="140"/>
      <c r="E44" s="140"/>
      <c r="F44" s="140">
        <v>1500</v>
      </c>
      <c r="G44" s="140"/>
      <c r="H44" s="140"/>
      <c r="I44" s="140">
        <f>180*133</f>
        <v>23940</v>
      </c>
      <c r="J44" s="140"/>
      <c r="K44" s="140">
        <f>40*59</f>
        <v>2360</v>
      </c>
      <c r="L44" s="140"/>
      <c r="M44" s="140"/>
      <c r="N44" s="140">
        <f>65*50+6000</f>
        <v>9250</v>
      </c>
      <c r="O44" s="140"/>
      <c r="P44" s="139"/>
      <c r="Q44" s="139"/>
      <c r="R44" s="139"/>
      <c r="S44" s="139"/>
    </row>
    <row r="45" spans="1:19" ht="16.5" customHeight="1" x14ac:dyDescent="0.3">
      <c r="A45" s="349"/>
      <c r="B45" s="133">
        <v>45854</v>
      </c>
      <c r="C45" s="133">
        <v>45855</v>
      </c>
      <c r="D45" s="134">
        <v>45856</v>
      </c>
      <c r="E45" s="135">
        <v>45857</v>
      </c>
      <c r="F45" s="136">
        <v>45858</v>
      </c>
      <c r="G45" s="133">
        <v>45859</v>
      </c>
      <c r="H45" s="133">
        <v>45860</v>
      </c>
      <c r="I45" s="133">
        <v>45861</v>
      </c>
      <c r="J45" s="133">
        <v>45862</v>
      </c>
      <c r="K45" s="134">
        <v>45863</v>
      </c>
      <c r="L45" s="135">
        <v>45864</v>
      </c>
      <c r="M45" s="136">
        <v>45865</v>
      </c>
      <c r="N45" s="133">
        <v>45866</v>
      </c>
      <c r="O45" s="133">
        <v>45867</v>
      </c>
      <c r="P45" s="133">
        <v>45868</v>
      </c>
      <c r="Q45" s="133">
        <v>45869</v>
      </c>
      <c r="R45" s="139"/>
      <c r="S45" s="139"/>
    </row>
    <row r="46" spans="1:19" ht="16.5" customHeight="1" x14ac:dyDescent="0.3">
      <c r="A46" s="350"/>
      <c r="B46" s="140"/>
      <c r="C46" s="140">
        <f>78*89.9</f>
        <v>7012.2000000000007</v>
      </c>
      <c r="D46" s="140"/>
      <c r="E46" s="140">
        <f>1859*117.83+1392*94</f>
        <v>349893.97</v>
      </c>
      <c r="F46" s="140"/>
      <c r="G46" s="140"/>
      <c r="H46" s="146"/>
      <c r="I46" s="140"/>
      <c r="J46" s="140"/>
      <c r="K46" s="140">
        <f>35*38</f>
        <v>1330</v>
      </c>
      <c r="L46" s="140">
        <f>144.38*1903</f>
        <v>274755.14</v>
      </c>
      <c r="M46" s="140"/>
      <c r="N46" s="140"/>
      <c r="O46" s="146"/>
      <c r="P46" s="139"/>
      <c r="Q46" s="139"/>
      <c r="R46" s="139"/>
      <c r="S46" s="139"/>
    </row>
    <row r="47" spans="1:19" ht="16.5" customHeight="1" x14ac:dyDescent="0.3">
      <c r="A47" s="353" t="s">
        <v>363</v>
      </c>
      <c r="B47" s="354"/>
      <c r="C47" s="354"/>
      <c r="D47" s="355" t="s">
        <v>364</v>
      </c>
      <c r="E47" s="343"/>
      <c r="F47" s="344"/>
      <c r="G47" s="148" t="s">
        <v>365</v>
      </c>
      <c r="H47" s="148" t="s">
        <v>366</v>
      </c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</row>
    <row r="48" spans="1:19" ht="16.5" customHeight="1" x14ac:dyDescent="0.3">
      <c r="A48" s="346">
        <f>SUM(B44:P44,B46:Q46)</f>
        <v>670041.31000000006</v>
      </c>
      <c r="B48" s="343"/>
      <c r="C48" s="344"/>
      <c r="D48" s="347">
        <v>126000</v>
      </c>
      <c r="E48" s="343"/>
      <c r="F48" s="344"/>
      <c r="G48" s="149">
        <f>A48*0.3</f>
        <v>201012.39300000001</v>
      </c>
      <c r="H48" s="150">
        <f>A48/(D48+G48)</f>
        <v>2.0489783394845222</v>
      </c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</row>
    <row r="49" spans="1:19" ht="16.5" customHeight="1" x14ac:dyDescent="0.3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</row>
    <row r="50" spans="1:19" ht="16.5" customHeight="1" x14ac:dyDescent="0.3">
      <c r="A50" s="348" t="s">
        <v>373</v>
      </c>
      <c r="B50" s="133">
        <v>45870</v>
      </c>
      <c r="C50" s="134">
        <v>45871</v>
      </c>
      <c r="D50" s="135">
        <v>45872</v>
      </c>
      <c r="E50" s="136">
        <v>45873</v>
      </c>
      <c r="F50" s="133">
        <v>45874</v>
      </c>
      <c r="G50" s="133">
        <v>45875</v>
      </c>
      <c r="H50" s="133">
        <v>45876</v>
      </c>
      <c r="I50" s="134">
        <v>45877</v>
      </c>
      <c r="J50" s="135">
        <v>45878</v>
      </c>
      <c r="K50" s="136">
        <v>45879</v>
      </c>
      <c r="L50" s="133">
        <v>45880</v>
      </c>
      <c r="M50" s="133">
        <v>45881</v>
      </c>
      <c r="N50" s="133">
        <v>45882</v>
      </c>
      <c r="O50" s="133">
        <v>45883</v>
      </c>
      <c r="P50" s="134">
        <v>45884</v>
      </c>
      <c r="Q50" s="135"/>
      <c r="R50" s="136"/>
      <c r="S50" s="139"/>
    </row>
    <row r="51" spans="1:19" ht="16.5" customHeight="1" x14ac:dyDescent="0.3">
      <c r="A51" s="349"/>
      <c r="B51" s="140">
        <f>95*316+25*70</f>
        <v>31770</v>
      </c>
      <c r="C51" s="140">
        <f>53*100</f>
        <v>5300</v>
      </c>
      <c r="D51" s="140"/>
      <c r="E51" s="140"/>
      <c r="F51" s="140">
        <f>85*80</f>
        <v>6800</v>
      </c>
      <c r="G51" s="140"/>
      <c r="H51" s="140">
        <f>60*39</f>
        <v>2340</v>
      </c>
      <c r="I51" s="140">
        <f>14*250</f>
        <v>3500</v>
      </c>
      <c r="J51" s="140">
        <f>350*89</f>
        <v>31150</v>
      </c>
      <c r="K51" s="140"/>
      <c r="L51" s="140"/>
      <c r="M51" s="140"/>
      <c r="N51" s="140">
        <f>27*1000</f>
        <v>27000</v>
      </c>
      <c r="O51" s="140"/>
      <c r="P51" s="139"/>
      <c r="Q51" s="139"/>
      <c r="R51" s="139"/>
      <c r="S51" s="139"/>
    </row>
    <row r="52" spans="1:19" ht="16.5" customHeight="1" x14ac:dyDescent="0.3">
      <c r="A52" s="349"/>
      <c r="B52" s="135">
        <v>45885</v>
      </c>
      <c r="C52" s="136">
        <v>45886</v>
      </c>
      <c r="D52" s="133">
        <v>45887</v>
      </c>
      <c r="E52" s="133">
        <v>45888</v>
      </c>
      <c r="F52" s="133">
        <v>45889</v>
      </c>
      <c r="G52" s="133">
        <v>45890</v>
      </c>
      <c r="H52" s="134">
        <v>45891</v>
      </c>
      <c r="I52" s="135">
        <v>45892</v>
      </c>
      <c r="J52" s="136">
        <v>45893</v>
      </c>
      <c r="K52" s="133">
        <v>45894</v>
      </c>
      <c r="L52" s="133">
        <v>45895</v>
      </c>
      <c r="M52" s="133">
        <v>45896</v>
      </c>
      <c r="N52" s="133">
        <v>45897</v>
      </c>
      <c r="O52" s="134">
        <v>45898</v>
      </c>
      <c r="P52" s="135">
        <v>45899</v>
      </c>
      <c r="Q52" s="136">
        <v>45900</v>
      </c>
      <c r="R52" s="139"/>
      <c r="S52" s="139"/>
    </row>
    <row r="53" spans="1:19" ht="16.5" customHeight="1" x14ac:dyDescent="0.3">
      <c r="A53" s="350"/>
      <c r="B53" s="140"/>
      <c r="C53" s="140"/>
      <c r="D53" s="140"/>
      <c r="E53" s="140"/>
      <c r="F53" s="140"/>
      <c r="G53" s="140"/>
      <c r="H53" s="146"/>
      <c r="I53" s="140">
        <f>90*80+150*80+90*89+155*89.9</f>
        <v>41144.5</v>
      </c>
      <c r="J53" s="140">
        <f>200*50</f>
        <v>10000</v>
      </c>
      <c r="K53" s="140">
        <f>1800*11</f>
        <v>19800</v>
      </c>
      <c r="L53" s="140">
        <f>20*58</f>
        <v>1160</v>
      </c>
      <c r="M53" s="140"/>
      <c r="N53" s="140"/>
      <c r="O53" s="146"/>
      <c r="P53" s="139">
        <f>100*40+63*80+85*45</f>
        <v>12865</v>
      </c>
      <c r="Q53" s="139"/>
      <c r="R53" s="139"/>
      <c r="S53" s="139"/>
    </row>
    <row r="54" spans="1:19" ht="16.5" customHeight="1" x14ac:dyDescent="0.3">
      <c r="A54" s="351" t="s">
        <v>363</v>
      </c>
      <c r="B54" s="343"/>
      <c r="C54" s="344"/>
      <c r="D54" s="352" t="s">
        <v>364</v>
      </c>
      <c r="E54" s="343"/>
      <c r="F54" s="344"/>
      <c r="G54" s="153" t="s">
        <v>365</v>
      </c>
      <c r="H54" s="153" t="s">
        <v>366</v>
      </c>
      <c r="I54" s="154"/>
      <c r="J54" s="154"/>
      <c r="K54" s="154"/>
      <c r="L54" s="154"/>
      <c r="M54" s="154"/>
      <c r="N54" s="154"/>
      <c r="O54" s="154"/>
      <c r="P54" s="139"/>
      <c r="Q54" s="139"/>
      <c r="R54" s="139"/>
      <c r="S54" s="139"/>
    </row>
    <row r="55" spans="1:19" ht="16.5" customHeight="1" x14ac:dyDescent="0.3">
      <c r="A55" s="346">
        <f>SUM(B51:P51,B53:Q53)</f>
        <v>192829.5</v>
      </c>
      <c r="B55" s="343"/>
      <c r="C55" s="344"/>
      <c r="D55" s="347">
        <v>126000</v>
      </c>
      <c r="E55" s="343"/>
      <c r="F55" s="344"/>
      <c r="G55" s="149">
        <f>A55*0.3</f>
        <v>57848.85</v>
      </c>
      <c r="H55" s="155">
        <v>0</v>
      </c>
      <c r="I55" s="154"/>
      <c r="J55" s="154"/>
      <c r="K55" s="154"/>
      <c r="L55" s="154"/>
      <c r="M55" s="154"/>
      <c r="N55" s="154"/>
      <c r="O55" s="154"/>
      <c r="P55" s="139"/>
      <c r="Q55" s="139"/>
      <c r="R55" s="139"/>
      <c r="S55" s="139"/>
    </row>
    <row r="56" spans="1:19" ht="16.5" customHeight="1" x14ac:dyDescent="0.3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</row>
    <row r="57" spans="1:19" ht="16.5" customHeight="1" x14ac:dyDescent="0.3">
      <c r="A57" s="348" t="s">
        <v>374</v>
      </c>
      <c r="B57" s="133">
        <v>45536</v>
      </c>
      <c r="C57" s="133">
        <v>45537</v>
      </c>
      <c r="D57" s="133">
        <v>45538</v>
      </c>
      <c r="E57" s="133">
        <v>45539</v>
      </c>
      <c r="F57" s="134">
        <v>45540</v>
      </c>
      <c r="G57" s="135">
        <v>45541</v>
      </c>
      <c r="H57" s="136">
        <v>45542</v>
      </c>
      <c r="I57" s="133">
        <v>45543</v>
      </c>
      <c r="J57" s="133">
        <v>45544</v>
      </c>
      <c r="K57" s="133">
        <v>45545</v>
      </c>
      <c r="L57" s="133">
        <v>45546</v>
      </c>
      <c r="M57" s="134">
        <v>45547</v>
      </c>
      <c r="N57" s="135">
        <v>45548</v>
      </c>
      <c r="O57" s="136">
        <v>45549</v>
      </c>
      <c r="P57" s="133">
        <v>45550</v>
      </c>
      <c r="Q57" s="139"/>
      <c r="R57" s="139"/>
      <c r="S57" s="139"/>
    </row>
    <row r="58" spans="1:19" ht="16.5" customHeight="1" x14ac:dyDescent="0.3">
      <c r="A58" s="349"/>
      <c r="B58" s="140"/>
      <c r="C58" s="140"/>
      <c r="D58" s="140"/>
      <c r="E58" s="140"/>
      <c r="F58" s="140">
        <f>139*650</f>
        <v>90350</v>
      </c>
      <c r="G58" s="140">
        <f>169*1847+800*120+1100*138</f>
        <v>559943</v>
      </c>
      <c r="H58" s="140"/>
      <c r="I58" s="140"/>
      <c r="J58" s="140"/>
      <c r="K58" s="140"/>
      <c r="L58" s="140"/>
      <c r="M58" s="140">
        <f>13*46.16</f>
        <v>600.07999999999993</v>
      </c>
      <c r="N58" s="140"/>
      <c r="O58" s="140"/>
      <c r="P58" s="139"/>
      <c r="Q58" s="139"/>
      <c r="R58" s="139"/>
      <c r="S58" s="139"/>
    </row>
    <row r="59" spans="1:19" ht="16.5" customHeight="1" x14ac:dyDescent="0.3">
      <c r="A59" s="349"/>
      <c r="B59" s="133">
        <v>45551</v>
      </c>
      <c r="C59" s="133">
        <v>45552</v>
      </c>
      <c r="D59" s="133">
        <v>45553</v>
      </c>
      <c r="E59" s="134">
        <v>45554</v>
      </c>
      <c r="F59" s="135">
        <v>45555</v>
      </c>
      <c r="G59" s="136">
        <v>45556</v>
      </c>
      <c r="H59" s="133">
        <v>45557</v>
      </c>
      <c r="I59" s="133">
        <v>45558</v>
      </c>
      <c r="J59" s="133">
        <v>45559</v>
      </c>
      <c r="K59" s="133">
        <v>45560</v>
      </c>
      <c r="L59" s="134">
        <v>45561</v>
      </c>
      <c r="M59" s="135">
        <v>45562</v>
      </c>
      <c r="N59" s="136">
        <v>45563</v>
      </c>
      <c r="O59" s="133">
        <v>45564</v>
      </c>
      <c r="P59" s="133">
        <v>45565</v>
      </c>
      <c r="Q59" s="133"/>
      <c r="R59" s="139"/>
      <c r="S59" s="139"/>
    </row>
    <row r="60" spans="1:19" ht="16.5" customHeight="1" x14ac:dyDescent="0.3">
      <c r="A60" s="350"/>
      <c r="B60" s="140"/>
      <c r="C60" s="140"/>
      <c r="D60" s="140"/>
      <c r="E60" s="140"/>
      <c r="F60" s="140"/>
      <c r="G60" s="139"/>
      <c r="H60" s="140"/>
      <c r="I60" s="140"/>
      <c r="J60" s="140"/>
      <c r="K60" s="140"/>
      <c r="L60" s="140"/>
      <c r="M60" s="140"/>
      <c r="N60" s="140"/>
      <c r="O60" s="146"/>
      <c r="P60" s="139"/>
      <c r="Q60" s="139"/>
      <c r="R60" s="139"/>
      <c r="S60" s="139"/>
    </row>
    <row r="61" spans="1:19" ht="16.5" customHeight="1" x14ac:dyDescent="0.3">
      <c r="A61" s="351" t="s">
        <v>363</v>
      </c>
      <c r="B61" s="343"/>
      <c r="C61" s="344"/>
      <c r="D61" s="352" t="s">
        <v>364</v>
      </c>
      <c r="E61" s="343"/>
      <c r="F61" s="344"/>
      <c r="G61" s="153" t="s">
        <v>365</v>
      </c>
      <c r="H61" s="153" t="s">
        <v>366</v>
      </c>
      <c r="I61" s="154"/>
      <c r="J61" s="154"/>
      <c r="K61" s="154"/>
      <c r="L61" s="154"/>
      <c r="M61" s="154"/>
      <c r="N61" s="154"/>
      <c r="O61" s="154"/>
      <c r="P61" s="139"/>
      <c r="Q61" s="139"/>
      <c r="R61" s="139"/>
      <c r="S61" s="139"/>
    </row>
    <row r="62" spans="1:19" ht="16.5" customHeight="1" x14ac:dyDescent="0.3">
      <c r="A62" s="346">
        <f>SUM(B58:P58,B60:Q60)</f>
        <v>650893.07999999996</v>
      </c>
      <c r="B62" s="343"/>
      <c r="C62" s="344"/>
      <c r="D62" s="347">
        <v>126000</v>
      </c>
      <c r="E62" s="343"/>
      <c r="F62" s="344"/>
      <c r="G62" s="149">
        <f>A62*0.3</f>
        <v>195267.92399999997</v>
      </c>
      <c r="H62" s="155">
        <v>0</v>
      </c>
      <c r="I62" s="154"/>
      <c r="J62" s="154"/>
      <c r="K62" s="154"/>
      <c r="L62" s="154"/>
      <c r="M62" s="154"/>
      <c r="N62" s="154"/>
      <c r="O62" s="154"/>
      <c r="P62" s="139"/>
      <c r="Q62" s="139"/>
      <c r="R62" s="139"/>
      <c r="S62" s="139"/>
    </row>
    <row r="63" spans="1:19" ht="16.5" customHeight="1" x14ac:dyDescent="0.3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</row>
    <row r="64" spans="1:19" ht="16.5" customHeight="1" x14ac:dyDescent="0.3">
      <c r="A64" s="348" t="s">
        <v>375</v>
      </c>
      <c r="B64" s="133">
        <v>45566</v>
      </c>
      <c r="C64" s="133">
        <v>45567</v>
      </c>
      <c r="D64" s="134">
        <v>45568</v>
      </c>
      <c r="E64" s="135">
        <v>45569</v>
      </c>
      <c r="F64" s="136">
        <v>45570</v>
      </c>
      <c r="G64" s="133">
        <v>45571</v>
      </c>
      <c r="H64" s="133">
        <v>45572</v>
      </c>
      <c r="I64" s="133">
        <v>45573</v>
      </c>
      <c r="J64" s="133">
        <v>45574</v>
      </c>
      <c r="K64" s="134">
        <v>45575</v>
      </c>
      <c r="L64" s="135">
        <v>45576</v>
      </c>
      <c r="M64" s="136">
        <v>45577</v>
      </c>
      <c r="N64" s="133">
        <v>45578</v>
      </c>
      <c r="O64" s="133">
        <v>45579</v>
      </c>
      <c r="P64" s="133">
        <v>45580</v>
      </c>
      <c r="Q64" s="139"/>
      <c r="R64" s="139"/>
      <c r="S64" s="139"/>
    </row>
    <row r="65" spans="1:19" ht="16.5" customHeight="1" x14ac:dyDescent="0.3">
      <c r="A65" s="349"/>
      <c r="B65" s="140"/>
      <c r="C65" s="140">
        <f>65*700</f>
        <v>45500</v>
      </c>
      <c r="D65" s="140"/>
      <c r="E65" s="140"/>
      <c r="F65" s="140"/>
      <c r="G65" s="140"/>
      <c r="H65" s="140"/>
      <c r="I65" s="140"/>
      <c r="J65" s="140">
        <f>60*45</f>
        <v>2700</v>
      </c>
      <c r="K65" s="140"/>
      <c r="L65" s="140"/>
      <c r="M65" s="140"/>
      <c r="N65" s="140"/>
      <c r="O65" s="140"/>
      <c r="P65" s="139"/>
      <c r="Q65" s="139"/>
      <c r="R65" s="139"/>
      <c r="S65" s="139"/>
    </row>
    <row r="66" spans="1:19" ht="16.5" customHeight="1" x14ac:dyDescent="0.3">
      <c r="A66" s="349"/>
      <c r="B66" s="133">
        <v>45581</v>
      </c>
      <c r="C66" s="134">
        <v>45582</v>
      </c>
      <c r="D66" s="135">
        <v>45583</v>
      </c>
      <c r="E66" s="136">
        <v>45584</v>
      </c>
      <c r="F66" s="133">
        <v>45585</v>
      </c>
      <c r="G66" s="133">
        <v>45586</v>
      </c>
      <c r="H66" s="133">
        <v>45587</v>
      </c>
      <c r="I66" s="133">
        <v>45588</v>
      </c>
      <c r="J66" s="134">
        <v>45589</v>
      </c>
      <c r="K66" s="135">
        <v>45590</v>
      </c>
      <c r="L66" s="136">
        <v>45591</v>
      </c>
      <c r="M66" s="133">
        <v>45592</v>
      </c>
      <c r="N66" s="133">
        <v>45593</v>
      </c>
      <c r="O66" s="133">
        <v>45594</v>
      </c>
      <c r="P66" s="133">
        <v>45595</v>
      </c>
      <c r="Q66" s="133">
        <v>45596</v>
      </c>
      <c r="R66" s="139"/>
      <c r="S66" s="139"/>
    </row>
    <row r="67" spans="1:19" ht="16.5" customHeight="1" x14ac:dyDescent="0.3">
      <c r="A67" s="350"/>
      <c r="B67" s="140">
        <f>70*16+300*80</f>
        <v>25120</v>
      </c>
      <c r="C67" s="140"/>
      <c r="D67" s="140"/>
      <c r="E67" s="140"/>
      <c r="F67" s="140"/>
      <c r="G67" s="140"/>
      <c r="H67" s="146"/>
      <c r="I67" s="140"/>
      <c r="J67" s="140"/>
      <c r="K67" s="140">
        <f>157*11</f>
        <v>1727</v>
      </c>
      <c r="L67" s="140"/>
      <c r="M67" s="140"/>
      <c r="N67" s="140"/>
      <c r="O67" s="146"/>
      <c r="P67" s="139"/>
      <c r="Q67" s="139">
        <f>60*50</f>
        <v>3000</v>
      </c>
      <c r="R67" s="139"/>
      <c r="S67" s="139"/>
    </row>
    <row r="68" spans="1:19" ht="16.5" customHeight="1" x14ac:dyDescent="0.3">
      <c r="A68" s="351" t="s">
        <v>363</v>
      </c>
      <c r="B68" s="343"/>
      <c r="C68" s="344"/>
      <c r="D68" s="352" t="s">
        <v>364</v>
      </c>
      <c r="E68" s="343"/>
      <c r="F68" s="344"/>
      <c r="G68" s="153" t="s">
        <v>365</v>
      </c>
      <c r="H68" s="153" t="s">
        <v>366</v>
      </c>
      <c r="I68" s="154"/>
      <c r="J68" s="154"/>
      <c r="K68" s="154"/>
      <c r="L68" s="154"/>
      <c r="M68" s="154"/>
      <c r="N68" s="154"/>
      <c r="O68" s="154"/>
      <c r="P68" s="139"/>
      <c r="Q68" s="139"/>
      <c r="R68" s="139"/>
      <c r="S68" s="139"/>
    </row>
    <row r="69" spans="1:19" ht="16.5" customHeight="1" x14ac:dyDescent="0.3">
      <c r="A69" s="346">
        <f>SUM(B65:P65,B67:Q67)</f>
        <v>78047</v>
      </c>
      <c r="B69" s="343"/>
      <c r="C69" s="344"/>
      <c r="D69" s="347">
        <v>126000</v>
      </c>
      <c r="E69" s="343"/>
      <c r="F69" s="344"/>
      <c r="G69" s="149">
        <f>A69*0.3</f>
        <v>23414.1</v>
      </c>
      <c r="H69" s="155">
        <v>0</v>
      </c>
      <c r="I69" s="154"/>
      <c r="J69" s="154"/>
      <c r="K69" s="154"/>
      <c r="L69" s="154"/>
      <c r="M69" s="154"/>
      <c r="N69" s="154"/>
      <c r="O69" s="154"/>
      <c r="P69" s="139"/>
      <c r="Q69" s="139"/>
      <c r="R69" s="139"/>
      <c r="S69" s="139"/>
    </row>
    <row r="70" spans="1:19" ht="16.5" customHeight="1" x14ac:dyDescent="0.3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</row>
    <row r="71" spans="1:19" ht="16.5" customHeight="1" x14ac:dyDescent="0.3">
      <c r="A71" s="348" t="s">
        <v>376</v>
      </c>
      <c r="B71" s="135">
        <v>45597</v>
      </c>
      <c r="C71" s="136">
        <v>45598</v>
      </c>
      <c r="D71" s="133">
        <v>45599</v>
      </c>
      <c r="E71" s="133">
        <v>45600</v>
      </c>
      <c r="F71" s="133">
        <v>45601</v>
      </c>
      <c r="G71" s="133">
        <v>45602</v>
      </c>
      <c r="H71" s="134">
        <v>45603</v>
      </c>
      <c r="I71" s="135">
        <v>45604</v>
      </c>
      <c r="J71" s="136">
        <v>45605</v>
      </c>
      <c r="K71" s="133">
        <v>45606</v>
      </c>
      <c r="L71" s="133">
        <v>45607</v>
      </c>
      <c r="M71" s="133">
        <v>45608</v>
      </c>
      <c r="N71" s="133">
        <v>45609</v>
      </c>
      <c r="O71" s="134">
        <v>45610</v>
      </c>
      <c r="P71" s="135">
        <v>45611</v>
      </c>
      <c r="Q71" s="136"/>
      <c r="R71" s="139"/>
      <c r="S71" s="139"/>
    </row>
    <row r="72" spans="1:19" ht="16.5" customHeight="1" x14ac:dyDescent="0.3">
      <c r="A72" s="349"/>
      <c r="B72" s="140">
        <f>63*89</f>
        <v>5607</v>
      </c>
      <c r="C72" s="140"/>
      <c r="D72" s="140"/>
      <c r="E72" s="140"/>
      <c r="F72" s="140"/>
      <c r="G72" s="140"/>
      <c r="H72" s="140"/>
      <c r="I72" s="140">
        <f>89*98+89*50+92*45</f>
        <v>17312</v>
      </c>
      <c r="J72" s="140">
        <f>27820</f>
        <v>27820</v>
      </c>
      <c r="K72" s="140"/>
      <c r="L72" s="140">
        <v>13862.85</v>
      </c>
      <c r="M72" s="140"/>
      <c r="N72" s="140">
        <f>67*55</f>
        <v>3685</v>
      </c>
      <c r="O72" s="140"/>
      <c r="P72" s="139">
        <f>60*89</f>
        <v>5340</v>
      </c>
      <c r="Q72" s="139"/>
      <c r="R72" s="139"/>
      <c r="S72" s="139"/>
    </row>
    <row r="73" spans="1:19" ht="16.5" customHeight="1" x14ac:dyDescent="0.3">
      <c r="A73" s="349"/>
      <c r="B73" s="136">
        <v>45612</v>
      </c>
      <c r="C73" s="133">
        <v>45613</v>
      </c>
      <c r="D73" s="133">
        <v>45614</v>
      </c>
      <c r="E73" s="133">
        <v>45615</v>
      </c>
      <c r="F73" s="133">
        <v>45616</v>
      </c>
      <c r="G73" s="134">
        <v>45617</v>
      </c>
      <c r="H73" s="135">
        <v>45618</v>
      </c>
      <c r="I73" s="136">
        <v>45619</v>
      </c>
      <c r="J73" s="133">
        <v>45620</v>
      </c>
      <c r="K73" s="133">
        <v>45621</v>
      </c>
      <c r="L73" s="133">
        <v>45622</v>
      </c>
      <c r="M73" s="133">
        <v>45623</v>
      </c>
      <c r="N73" s="134">
        <v>45624</v>
      </c>
      <c r="O73" s="135">
        <v>45625</v>
      </c>
      <c r="P73" s="136">
        <v>45626</v>
      </c>
      <c r="Q73" s="133"/>
      <c r="R73" s="139"/>
      <c r="S73" s="139"/>
    </row>
    <row r="74" spans="1:19" ht="16.5" customHeight="1" x14ac:dyDescent="0.3">
      <c r="A74" s="350"/>
      <c r="B74" s="140"/>
      <c r="C74" s="140"/>
      <c r="D74" s="140"/>
      <c r="E74" s="140"/>
      <c r="F74" s="140"/>
      <c r="G74" s="140"/>
      <c r="H74" s="146"/>
      <c r="I74" s="140"/>
      <c r="J74" s="140"/>
      <c r="K74" s="140"/>
      <c r="L74" s="140"/>
      <c r="M74" s="140"/>
      <c r="N74" s="140"/>
      <c r="O74" s="146"/>
      <c r="P74" s="139"/>
      <c r="Q74" s="139"/>
      <c r="R74" s="139"/>
      <c r="S74" s="139"/>
    </row>
    <row r="75" spans="1:19" ht="16.5" customHeight="1" x14ac:dyDescent="0.3">
      <c r="A75" s="351" t="s">
        <v>363</v>
      </c>
      <c r="B75" s="343"/>
      <c r="C75" s="344"/>
      <c r="D75" s="352" t="s">
        <v>364</v>
      </c>
      <c r="E75" s="343"/>
      <c r="F75" s="344"/>
      <c r="G75" s="153" t="s">
        <v>365</v>
      </c>
      <c r="H75" s="153" t="s">
        <v>366</v>
      </c>
      <c r="I75" s="154"/>
      <c r="J75" s="154"/>
      <c r="K75" s="154"/>
      <c r="L75" s="154"/>
      <c r="M75" s="154"/>
      <c r="N75" s="154"/>
      <c r="O75" s="154"/>
      <c r="P75" s="139"/>
      <c r="Q75" s="139"/>
      <c r="R75" s="139"/>
      <c r="S75" s="139"/>
    </row>
    <row r="76" spans="1:19" ht="16.5" customHeight="1" x14ac:dyDescent="0.3">
      <c r="A76" s="346">
        <f>SUM(B72:P72,B74:Q74)</f>
        <v>73626.850000000006</v>
      </c>
      <c r="B76" s="343"/>
      <c r="C76" s="344"/>
      <c r="D76" s="347">
        <v>126000</v>
      </c>
      <c r="E76" s="343"/>
      <c r="F76" s="344"/>
      <c r="G76" s="149">
        <f>A76*0.3</f>
        <v>22088.055</v>
      </c>
      <c r="H76" s="155">
        <v>0</v>
      </c>
      <c r="I76" s="154"/>
      <c r="J76" s="154"/>
      <c r="K76" s="154"/>
      <c r="L76" s="154"/>
      <c r="M76" s="154"/>
      <c r="N76" s="154"/>
      <c r="O76" s="154"/>
      <c r="P76" s="139"/>
      <c r="Q76" s="139"/>
      <c r="R76" s="139"/>
      <c r="S76" s="139"/>
    </row>
    <row r="77" spans="1:19" ht="16.5" customHeight="1" x14ac:dyDescent="0.3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</row>
    <row r="78" spans="1:19" ht="16.5" customHeight="1" x14ac:dyDescent="0.3">
      <c r="A78" s="348" t="s">
        <v>377</v>
      </c>
      <c r="B78" s="133">
        <v>45627</v>
      </c>
      <c r="C78" s="133">
        <v>45628</v>
      </c>
      <c r="D78" s="133">
        <v>45629</v>
      </c>
      <c r="E78" s="133">
        <v>45630</v>
      </c>
      <c r="F78" s="134">
        <v>45631</v>
      </c>
      <c r="G78" s="135">
        <v>45632</v>
      </c>
      <c r="H78" s="136">
        <v>45633</v>
      </c>
      <c r="I78" s="133">
        <v>45634</v>
      </c>
      <c r="J78" s="133">
        <v>45635</v>
      </c>
      <c r="K78" s="133">
        <v>45636</v>
      </c>
      <c r="L78" s="133">
        <v>45637</v>
      </c>
      <c r="M78" s="134">
        <v>45638</v>
      </c>
      <c r="N78" s="135">
        <v>45639</v>
      </c>
      <c r="O78" s="136">
        <v>45640</v>
      </c>
      <c r="P78" s="133">
        <v>45641</v>
      </c>
      <c r="Q78" s="139"/>
      <c r="R78" s="139"/>
      <c r="S78" s="139"/>
    </row>
    <row r="79" spans="1:19" ht="16.5" customHeight="1" x14ac:dyDescent="0.3">
      <c r="A79" s="349"/>
      <c r="B79" s="140">
        <f>140*250</f>
        <v>35000</v>
      </c>
      <c r="C79" s="140">
        <f>264*12</f>
        <v>3168</v>
      </c>
      <c r="D79" s="140"/>
      <c r="E79" s="140">
        <f>89*70</f>
        <v>6230</v>
      </c>
      <c r="F79" s="140">
        <f>150*140</f>
        <v>21000</v>
      </c>
      <c r="G79" s="140">
        <f>120*800+1100*138+150*140</f>
        <v>268800</v>
      </c>
      <c r="H79" s="140"/>
      <c r="I79" s="140"/>
      <c r="J79" s="140"/>
      <c r="K79" s="140"/>
      <c r="L79" s="140"/>
      <c r="M79" s="140"/>
      <c r="N79" s="140">
        <f>700*120.65+700*12.65+108*800</f>
        <v>179710</v>
      </c>
      <c r="O79" s="140"/>
      <c r="P79" s="139"/>
      <c r="Q79" s="139"/>
      <c r="R79" s="139"/>
      <c r="S79" s="139"/>
    </row>
    <row r="80" spans="1:19" ht="16.5" customHeight="1" x14ac:dyDescent="0.3">
      <c r="A80" s="349"/>
      <c r="B80" s="133">
        <v>45642</v>
      </c>
      <c r="C80" s="133">
        <v>45643</v>
      </c>
      <c r="D80" s="133">
        <v>45644</v>
      </c>
      <c r="E80" s="134">
        <v>45645</v>
      </c>
      <c r="F80" s="135">
        <v>45646</v>
      </c>
      <c r="G80" s="136">
        <v>45647</v>
      </c>
      <c r="H80" s="133">
        <v>45648</v>
      </c>
      <c r="I80" s="133">
        <v>45649</v>
      </c>
      <c r="J80" s="133">
        <v>45650</v>
      </c>
      <c r="K80" s="156">
        <v>46016</v>
      </c>
      <c r="L80" s="134">
        <v>45652</v>
      </c>
      <c r="M80" s="135">
        <v>45653</v>
      </c>
      <c r="N80" s="136">
        <v>45654</v>
      </c>
      <c r="O80" s="133">
        <v>45655</v>
      </c>
      <c r="P80" s="133">
        <v>45656</v>
      </c>
      <c r="Q80" s="133">
        <v>45657</v>
      </c>
      <c r="R80" s="139"/>
      <c r="S80" s="139"/>
    </row>
    <row r="81" spans="1:19" ht="16.5" customHeight="1" x14ac:dyDescent="0.3">
      <c r="A81" s="350"/>
      <c r="B81" s="140"/>
      <c r="C81" s="140">
        <f>12*722</f>
        <v>8664</v>
      </c>
      <c r="D81" s="140"/>
      <c r="E81" s="140">
        <f>1200*138</f>
        <v>165600</v>
      </c>
      <c r="F81" s="140">
        <f>528*135</f>
        <v>71280</v>
      </c>
      <c r="G81" s="140"/>
      <c r="H81" s="146"/>
      <c r="I81" s="140"/>
      <c r="J81" s="140"/>
      <c r="K81" s="157" t="s">
        <v>378</v>
      </c>
      <c r="L81" s="140"/>
      <c r="M81" s="140"/>
      <c r="N81" s="140"/>
      <c r="O81" s="146"/>
      <c r="P81" s="139"/>
      <c r="Q81" s="139"/>
      <c r="R81" s="139"/>
      <c r="S81" s="139"/>
    </row>
    <row r="82" spans="1:19" ht="16.5" customHeight="1" x14ac:dyDescent="0.3">
      <c r="A82" s="351" t="s">
        <v>363</v>
      </c>
      <c r="B82" s="343"/>
      <c r="C82" s="344"/>
      <c r="D82" s="352" t="s">
        <v>364</v>
      </c>
      <c r="E82" s="343"/>
      <c r="F82" s="344"/>
      <c r="G82" s="153" t="s">
        <v>365</v>
      </c>
      <c r="H82" s="153" t="s">
        <v>366</v>
      </c>
      <c r="I82" s="154"/>
      <c r="J82" s="154"/>
      <c r="K82" s="154"/>
      <c r="L82" s="154"/>
      <c r="M82" s="154"/>
      <c r="N82" s="154"/>
      <c r="O82" s="154"/>
      <c r="P82" s="139"/>
      <c r="Q82" s="139"/>
      <c r="R82" s="139"/>
      <c r="S82" s="139"/>
    </row>
    <row r="83" spans="1:19" ht="16.5" customHeight="1" x14ac:dyDescent="0.3">
      <c r="A83" s="346">
        <f>SUM(B79:P79,B81:Q81)</f>
        <v>759452</v>
      </c>
      <c r="B83" s="343"/>
      <c r="C83" s="344"/>
      <c r="D83" s="347">
        <v>126000</v>
      </c>
      <c r="E83" s="343"/>
      <c r="F83" s="344"/>
      <c r="G83" s="149">
        <f>A83*0.3</f>
        <v>227835.6</v>
      </c>
      <c r="H83" s="155">
        <v>0</v>
      </c>
      <c r="I83" s="154"/>
      <c r="J83" s="154"/>
      <c r="K83" s="154"/>
      <c r="L83" s="154"/>
      <c r="M83" s="154"/>
      <c r="N83" s="154"/>
      <c r="O83" s="154"/>
      <c r="P83" s="139"/>
      <c r="Q83" s="139"/>
      <c r="R83" s="139"/>
      <c r="S83" s="139"/>
    </row>
    <row r="84" spans="1:19" ht="16.5" customHeight="1" x14ac:dyDescent="0.3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</row>
    <row r="85" spans="1:19" ht="16.5" customHeight="1" x14ac:dyDescent="0.3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</row>
    <row r="86" spans="1:19" ht="16.5" customHeight="1" x14ac:dyDescent="0.3">
      <c r="A86" s="342" t="s">
        <v>379</v>
      </c>
      <c r="B86" s="343"/>
      <c r="C86" s="344"/>
      <c r="D86" s="342" t="s">
        <v>380</v>
      </c>
      <c r="E86" s="343"/>
      <c r="F86" s="344"/>
      <c r="G86" s="158" t="s">
        <v>381</v>
      </c>
      <c r="H86" s="159" t="s">
        <v>366</v>
      </c>
      <c r="I86" s="160"/>
      <c r="J86" s="139"/>
      <c r="K86" s="139"/>
      <c r="L86" s="139"/>
      <c r="M86" s="139"/>
      <c r="N86" s="139"/>
      <c r="O86" s="139"/>
      <c r="P86" s="139"/>
      <c r="Q86" s="139"/>
      <c r="R86" s="139"/>
      <c r="S86" s="139"/>
    </row>
    <row r="87" spans="1:19" ht="16.5" customHeight="1" x14ac:dyDescent="0.3">
      <c r="A87" s="345">
        <f>SUM(A83,A76,A69,A62,A55,A48,A41,A34,A27,A20,A13,A6)</f>
        <v>5255376.9492600001</v>
      </c>
      <c r="B87" s="343"/>
      <c r="C87" s="344"/>
      <c r="D87" s="345">
        <f>SUM(D83,D76,D69,D62,D55,D48,D41,D34,D27,D20,D13,D6)</f>
        <v>1512000</v>
      </c>
      <c r="E87" s="343"/>
      <c r="F87" s="344"/>
      <c r="G87" s="161">
        <f>SUM(G83,G76,G69,G62,G55,G48,G41,G34,G27,G20,G13,G6)</f>
        <v>1576613.0847779997</v>
      </c>
      <c r="H87" s="162">
        <f>A87/(D87+G87)</f>
        <v>1.7015329550861309</v>
      </c>
      <c r="I87" s="160"/>
      <c r="J87" s="139"/>
      <c r="K87" s="139"/>
      <c r="L87" s="139"/>
      <c r="M87" s="139"/>
      <c r="N87" s="139"/>
      <c r="O87" s="139"/>
      <c r="P87" s="139"/>
      <c r="Q87" s="139"/>
      <c r="R87" s="139"/>
      <c r="S87" s="139"/>
    </row>
    <row r="88" spans="1:19" ht="16.5" customHeight="1" x14ac:dyDescent="0.3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</row>
    <row r="89" spans="1:19" ht="16.5" customHeight="1" x14ac:dyDescent="0.3">
      <c r="A89" s="138"/>
      <c r="B89" s="163" t="s">
        <v>382</v>
      </c>
      <c r="C89" s="163" t="s">
        <v>383</v>
      </c>
      <c r="D89" s="163" t="s">
        <v>384</v>
      </c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</row>
    <row r="90" spans="1:19" ht="16.5" customHeight="1" x14ac:dyDescent="0.3">
      <c r="A90" s="164" t="s">
        <v>385</v>
      </c>
      <c r="B90" s="165">
        <f>D6</f>
        <v>126000</v>
      </c>
      <c r="C90" s="166">
        <f>A6</f>
        <v>398036.94</v>
      </c>
      <c r="D90" s="166">
        <f t="shared" ref="D90:D102" si="0">C90-B90</f>
        <v>272036.94</v>
      </c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</row>
    <row r="91" spans="1:19" ht="16.5" customHeight="1" x14ac:dyDescent="0.3">
      <c r="A91" s="164" t="s">
        <v>386</v>
      </c>
      <c r="B91" s="167">
        <v>126000</v>
      </c>
      <c r="C91" s="166">
        <f>A13</f>
        <v>698669.8</v>
      </c>
      <c r="D91" s="166">
        <f t="shared" si="0"/>
        <v>572669.80000000005</v>
      </c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</row>
    <row r="92" spans="1:19" ht="16.5" customHeight="1" x14ac:dyDescent="0.3">
      <c r="A92" s="168" t="s">
        <v>387</v>
      </c>
      <c r="B92" s="167">
        <v>126000</v>
      </c>
      <c r="C92" s="166">
        <f>A20</f>
        <v>239442.6299</v>
      </c>
      <c r="D92" s="166">
        <f t="shared" si="0"/>
        <v>113442.6299</v>
      </c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</row>
    <row r="93" spans="1:19" ht="16.5" customHeight="1" x14ac:dyDescent="0.3">
      <c r="A93" s="168" t="s">
        <v>388</v>
      </c>
      <c r="B93" s="167">
        <v>126000</v>
      </c>
      <c r="C93" s="166">
        <f>A27</f>
        <v>578456.99936000002</v>
      </c>
      <c r="D93" s="166">
        <f t="shared" si="0"/>
        <v>452456.99936000002</v>
      </c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</row>
    <row r="94" spans="1:19" ht="16.5" customHeight="1" x14ac:dyDescent="0.3">
      <c r="A94" s="168" t="s">
        <v>389</v>
      </c>
      <c r="B94" s="167">
        <v>126000</v>
      </c>
      <c r="C94" s="166">
        <f>A34</f>
        <v>849526.74</v>
      </c>
      <c r="D94" s="166">
        <f t="shared" si="0"/>
        <v>723526.74</v>
      </c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</row>
    <row r="95" spans="1:19" ht="16.5" customHeight="1" x14ac:dyDescent="0.3">
      <c r="A95" s="168" t="s">
        <v>390</v>
      </c>
      <c r="B95" s="167">
        <v>126000</v>
      </c>
      <c r="C95" s="166">
        <f>A41</f>
        <v>66354.100000000006</v>
      </c>
      <c r="D95" s="166">
        <f t="shared" si="0"/>
        <v>-59645.899999999994</v>
      </c>
      <c r="E95" s="139"/>
      <c r="F95" s="139"/>
      <c r="G95" s="169"/>
      <c r="H95" s="16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</row>
    <row r="96" spans="1:19" ht="16.5" customHeight="1" x14ac:dyDescent="0.3">
      <c r="A96" s="168" t="s">
        <v>391</v>
      </c>
      <c r="B96" s="167">
        <v>126000</v>
      </c>
      <c r="C96" s="166">
        <f>A55</f>
        <v>192829.5</v>
      </c>
      <c r="D96" s="166">
        <f t="shared" si="0"/>
        <v>66829.5</v>
      </c>
      <c r="E96" s="139"/>
      <c r="F96" s="139"/>
      <c r="G96" s="169"/>
      <c r="H96" s="16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</row>
    <row r="97" spans="1:19" ht="16.5" customHeight="1" x14ac:dyDescent="0.3">
      <c r="A97" s="168" t="s">
        <v>392</v>
      </c>
      <c r="B97" s="167">
        <v>126000</v>
      </c>
      <c r="C97" s="166">
        <f>A13</f>
        <v>698669.8</v>
      </c>
      <c r="D97" s="166">
        <f t="shared" si="0"/>
        <v>572669.80000000005</v>
      </c>
      <c r="E97" s="139"/>
      <c r="F97" s="139"/>
      <c r="G97" s="169"/>
      <c r="H97" s="16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</row>
    <row r="98" spans="1:19" ht="16.5" customHeight="1" x14ac:dyDescent="0.3">
      <c r="A98" s="164" t="s">
        <v>393</v>
      </c>
      <c r="B98" s="167">
        <v>126000</v>
      </c>
      <c r="C98" s="166">
        <f>A62</f>
        <v>650893.07999999996</v>
      </c>
      <c r="D98" s="166">
        <f t="shared" si="0"/>
        <v>524893.07999999996</v>
      </c>
      <c r="E98" s="139"/>
      <c r="F98" s="139"/>
      <c r="G98" s="169"/>
      <c r="H98" s="16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</row>
    <row r="99" spans="1:19" ht="16.5" customHeight="1" x14ac:dyDescent="0.3">
      <c r="A99" s="164" t="s">
        <v>394</v>
      </c>
      <c r="B99" s="167">
        <v>126000</v>
      </c>
      <c r="C99" s="166">
        <f>A69</f>
        <v>78047</v>
      </c>
      <c r="D99" s="166">
        <f t="shared" si="0"/>
        <v>-47953</v>
      </c>
      <c r="E99" s="139"/>
      <c r="F99" s="139"/>
      <c r="G99" s="169"/>
      <c r="H99" s="16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</row>
    <row r="100" spans="1:19" ht="16.5" customHeight="1" x14ac:dyDescent="0.3">
      <c r="A100" s="164" t="s">
        <v>395</v>
      </c>
      <c r="B100" s="167">
        <v>126000</v>
      </c>
      <c r="C100" s="166">
        <f>A76</f>
        <v>73626.850000000006</v>
      </c>
      <c r="D100" s="166">
        <f t="shared" si="0"/>
        <v>-52373.149999999994</v>
      </c>
      <c r="E100" s="139"/>
      <c r="F100" s="139"/>
      <c r="G100" s="169"/>
      <c r="H100" s="16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</row>
    <row r="101" spans="1:19" ht="16.5" customHeight="1" x14ac:dyDescent="0.3">
      <c r="A101" s="164" t="s">
        <v>396</v>
      </c>
      <c r="B101" s="167">
        <v>126000</v>
      </c>
      <c r="C101" s="166">
        <f>A83</f>
        <v>759452</v>
      </c>
      <c r="D101" s="166">
        <f t="shared" si="0"/>
        <v>633452</v>
      </c>
      <c r="E101" s="139"/>
      <c r="F101" s="139"/>
      <c r="G101" s="169"/>
      <c r="H101" s="16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</row>
    <row r="102" spans="1:19" ht="16.5" customHeight="1" x14ac:dyDescent="0.3">
      <c r="A102" s="139"/>
      <c r="B102" s="139"/>
      <c r="C102" s="139"/>
      <c r="D102" s="170">
        <f t="shared" si="0"/>
        <v>0</v>
      </c>
      <c r="E102" s="139"/>
      <c r="F102" s="139"/>
      <c r="G102" s="139"/>
      <c r="H102" s="16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</row>
    <row r="103" spans="1:19" ht="16.5" customHeight="1" x14ac:dyDescent="0.3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</row>
    <row r="104" spans="1:19" ht="16.5" customHeight="1" x14ac:dyDescent="0.3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</row>
  </sheetData>
  <mergeCells count="64">
    <mergeCell ref="A19:C19"/>
    <mergeCell ref="D19:F19"/>
    <mergeCell ref="A1:A4"/>
    <mergeCell ref="A5:C5"/>
    <mergeCell ref="D5:F5"/>
    <mergeCell ref="A6:C6"/>
    <mergeCell ref="D6:F6"/>
    <mergeCell ref="A8:A11"/>
    <mergeCell ref="A12:C12"/>
    <mergeCell ref="D12:F12"/>
    <mergeCell ref="A13:C13"/>
    <mergeCell ref="D13:F13"/>
    <mergeCell ref="A15:A18"/>
    <mergeCell ref="A36:A39"/>
    <mergeCell ref="A20:C20"/>
    <mergeCell ref="D20:F20"/>
    <mergeCell ref="A22:A25"/>
    <mergeCell ref="A26:C26"/>
    <mergeCell ref="D26:F26"/>
    <mergeCell ref="A27:C27"/>
    <mergeCell ref="D27:F27"/>
    <mergeCell ref="A29:A32"/>
    <mergeCell ref="A33:C33"/>
    <mergeCell ref="D33:F33"/>
    <mergeCell ref="A34:C34"/>
    <mergeCell ref="D34:F34"/>
    <mergeCell ref="A55:C55"/>
    <mergeCell ref="D55:F55"/>
    <mergeCell ref="A40:C40"/>
    <mergeCell ref="D40:F40"/>
    <mergeCell ref="A41:C41"/>
    <mergeCell ref="D41:F41"/>
    <mergeCell ref="A43:A46"/>
    <mergeCell ref="A47:C47"/>
    <mergeCell ref="D47:F47"/>
    <mergeCell ref="A48:C48"/>
    <mergeCell ref="D48:F48"/>
    <mergeCell ref="A50:A53"/>
    <mergeCell ref="A54:C54"/>
    <mergeCell ref="D54:F54"/>
    <mergeCell ref="A75:C75"/>
    <mergeCell ref="D75:F75"/>
    <mergeCell ref="A57:A60"/>
    <mergeCell ref="A61:C61"/>
    <mergeCell ref="D61:F61"/>
    <mergeCell ref="A62:C62"/>
    <mergeCell ref="D62:F62"/>
    <mergeCell ref="A64:A67"/>
    <mergeCell ref="A68:C68"/>
    <mergeCell ref="D68:F68"/>
    <mergeCell ref="A69:C69"/>
    <mergeCell ref="D69:F69"/>
    <mergeCell ref="A71:A74"/>
    <mergeCell ref="A86:C86"/>
    <mergeCell ref="D86:F86"/>
    <mergeCell ref="A87:C87"/>
    <mergeCell ref="D87:F87"/>
    <mergeCell ref="A76:C76"/>
    <mergeCell ref="D76:F76"/>
    <mergeCell ref="A78:A81"/>
    <mergeCell ref="A82:C82"/>
    <mergeCell ref="D82:F82"/>
    <mergeCell ref="A83:C83"/>
    <mergeCell ref="D83:F83"/>
  </mergeCells>
  <conditionalFormatting sqref="A6:C6">
    <cfRule type="cellIs" dxfId="23" priority="1" operator="greaterThan">
      <formula>$D$6</formula>
    </cfRule>
  </conditionalFormatting>
  <conditionalFormatting sqref="A6:C6">
    <cfRule type="cellIs" dxfId="22" priority="2" operator="lessThan">
      <formula>$D$6</formula>
    </cfRule>
  </conditionalFormatting>
  <conditionalFormatting sqref="A13:C13">
    <cfRule type="cellIs" dxfId="21" priority="3" operator="greaterThan">
      <formula>$D$6</formula>
    </cfRule>
  </conditionalFormatting>
  <conditionalFormatting sqref="A13:C13">
    <cfRule type="cellIs" dxfId="20" priority="4" operator="lessThan">
      <formula>$D$6</formula>
    </cfRule>
  </conditionalFormatting>
  <conditionalFormatting sqref="A20:C20">
    <cfRule type="cellIs" dxfId="19" priority="5" operator="greaterThan">
      <formula>$D$6</formula>
    </cfRule>
  </conditionalFormatting>
  <conditionalFormatting sqref="A20:C20">
    <cfRule type="cellIs" dxfId="18" priority="6" operator="lessThan">
      <formula>$D$6</formula>
    </cfRule>
  </conditionalFormatting>
  <conditionalFormatting sqref="A27:C27">
    <cfRule type="cellIs" dxfId="17" priority="7" operator="greaterThan">
      <formula>$D$6</formula>
    </cfRule>
  </conditionalFormatting>
  <conditionalFormatting sqref="A27:C27">
    <cfRule type="cellIs" dxfId="16" priority="8" operator="lessThan">
      <formula>$D$6</formula>
    </cfRule>
  </conditionalFormatting>
  <conditionalFormatting sqref="A34:C34">
    <cfRule type="cellIs" dxfId="15" priority="9" operator="greaterThan">
      <formula>$D$6</formula>
    </cfRule>
  </conditionalFormatting>
  <conditionalFormatting sqref="A34:C34">
    <cfRule type="cellIs" dxfId="14" priority="10" operator="lessThan">
      <formula>$D$6</formula>
    </cfRule>
  </conditionalFormatting>
  <conditionalFormatting sqref="A48:C48">
    <cfRule type="cellIs" dxfId="13" priority="11" operator="greaterThan">
      <formula>$D$6</formula>
    </cfRule>
  </conditionalFormatting>
  <conditionalFormatting sqref="A48:C48">
    <cfRule type="cellIs" dxfId="12" priority="12" operator="lessThan">
      <formula>$D$6</formula>
    </cfRule>
  </conditionalFormatting>
  <conditionalFormatting sqref="A55:C55">
    <cfRule type="cellIs" dxfId="11" priority="13" operator="greaterThan">
      <formula>$D$6</formula>
    </cfRule>
  </conditionalFormatting>
  <conditionalFormatting sqref="A55:C55">
    <cfRule type="cellIs" dxfId="10" priority="14" operator="lessThan">
      <formula>$D$6</formula>
    </cfRule>
  </conditionalFormatting>
  <conditionalFormatting sqref="A62:C62">
    <cfRule type="cellIs" dxfId="9" priority="15" operator="greaterThan">
      <formula>$D$6</formula>
    </cfRule>
  </conditionalFormatting>
  <conditionalFormatting sqref="A62:C62">
    <cfRule type="cellIs" dxfId="8" priority="16" operator="lessThan">
      <formula>$D$6</formula>
    </cfRule>
  </conditionalFormatting>
  <conditionalFormatting sqref="A69:C69">
    <cfRule type="cellIs" dxfId="7" priority="17" operator="greaterThan">
      <formula>$D$6</formula>
    </cfRule>
  </conditionalFormatting>
  <conditionalFormatting sqref="A69:C69">
    <cfRule type="cellIs" dxfId="6" priority="18" operator="lessThan">
      <formula>$D$6</formula>
    </cfRule>
  </conditionalFormatting>
  <conditionalFormatting sqref="A76:C76">
    <cfRule type="cellIs" dxfId="5" priority="19" operator="greaterThan">
      <formula>$D$6</formula>
    </cfRule>
  </conditionalFormatting>
  <conditionalFormatting sqref="A76:C76">
    <cfRule type="cellIs" dxfId="4" priority="20" operator="lessThan">
      <formula>$D$6</formula>
    </cfRule>
  </conditionalFormatting>
  <conditionalFormatting sqref="A83:C83">
    <cfRule type="cellIs" dxfId="3" priority="21" operator="greaterThan">
      <formula>$D$6</formula>
    </cfRule>
  </conditionalFormatting>
  <conditionalFormatting sqref="A83:C83">
    <cfRule type="cellIs" dxfId="2" priority="22" operator="lessThan">
      <formula>$D$6</formula>
    </cfRule>
  </conditionalFormatting>
  <conditionalFormatting sqref="D90:D101">
    <cfRule type="cellIs" dxfId="1" priority="23" operator="greaterThanOrEqual">
      <formula>0</formula>
    </cfRule>
  </conditionalFormatting>
  <conditionalFormatting sqref="D90:D101">
    <cfRule type="cellIs" dxfId="0" priority="24" operator="lessThanOrEqual">
      <formula>126000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2FF3-3B50-4400-8A13-254E81698BB3}">
  <dimension ref="A2:F9"/>
  <sheetViews>
    <sheetView workbookViewId="0">
      <selection activeCell="N27" sqref="N27"/>
    </sheetView>
  </sheetViews>
  <sheetFormatPr defaultRowHeight="15" x14ac:dyDescent="0.25"/>
  <cols>
    <col min="2" max="2" width="10.7109375" bestFit="1" customWidth="1"/>
    <col min="3" max="3" width="15.42578125" customWidth="1"/>
  </cols>
  <sheetData>
    <row r="2" spans="1:6" x14ac:dyDescent="0.25">
      <c r="A2" t="s">
        <v>410</v>
      </c>
      <c r="B2" s="215">
        <v>45911</v>
      </c>
    </row>
    <row r="3" spans="1:6" x14ac:dyDescent="0.25">
      <c r="A3" s="213"/>
      <c r="B3" s="213">
        <v>2025</v>
      </c>
      <c r="C3" s="213">
        <v>2026</v>
      </c>
      <c r="D3" s="213">
        <v>2027</v>
      </c>
      <c r="E3" s="213">
        <v>2028</v>
      </c>
    </row>
    <row r="4" spans="1:6" x14ac:dyDescent="0.25">
      <c r="A4" s="216" t="s">
        <v>412</v>
      </c>
      <c r="B4" s="216">
        <v>156</v>
      </c>
      <c r="C4" s="216">
        <v>18</v>
      </c>
      <c r="D4" s="216">
        <v>4</v>
      </c>
      <c r="E4" s="216">
        <v>1</v>
      </c>
      <c r="F4" s="216">
        <f>SUM(B4:E4)</f>
        <v>179</v>
      </c>
    </row>
    <row r="5" spans="1:6" x14ac:dyDescent="0.25">
      <c r="A5" s="216">
        <v>2024</v>
      </c>
      <c r="B5" s="216">
        <v>15</v>
      </c>
      <c r="C5" s="216"/>
      <c r="D5" s="216"/>
      <c r="E5" s="216"/>
      <c r="F5" s="216">
        <f t="shared" ref="F5:F6" si="0">SUM(B5:E5)</f>
        <v>15</v>
      </c>
    </row>
    <row r="6" spans="1:6" x14ac:dyDescent="0.25">
      <c r="A6" s="216" t="s">
        <v>356</v>
      </c>
      <c r="B6" s="216">
        <f>B4-B5</f>
        <v>141</v>
      </c>
      <c r="C6" s="216">
        <f>C4</f>
        <v>18</v>
      </c>
      <c r="D6" s="216">
        <v>4</v>
      </c>
      <c r="E6" s="216">
        <v>1</v>
      </c>
      <c r="F6" s="20">
        <f t="shared" si="0"/>
        <v>164</v>
      </c>
    </row>
    <row r="8" spans="1:6" x14ac:dyDescent="0.25">
      <c r="A8" s="217" t="s">
        <v>411</v>
      </c>
    </row>
    <row r="9" spans="1:6" x14ac:dyDescent="0.25">
      <c r="A9" s="217">
        <v>164</v>
      </c>
      <c r="B9" t="s">
        <v>413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financeiro l</vt:lpstr>
      <vt:lpstr>datas ocupação och </vt:lpstr>
      <vt:lpstr>financeiro a </vt:lpstr>
      <vt:lpstr>datas ocupaçao l.a </vt:lpstr>
      <vt:lpstr>ATA X 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</dc:creator>
  <cp:lastModifiedBy>Financeiro</cp:lastModifiedBy>
  <cp:lastPrinted>2026-01-22T14:54:09Z</cp:lastPrinted>
  <dcterms:created xsi:type="dcterms:W3CDTF">2025-09-06T12:31:57Z</dcterms:created>
  <dcterms:modified xsi:type="dcterms:W3CDTF">2026-01-22T16:24:23Z</dcterms:modified>
</cp:coreProperties>
</file>