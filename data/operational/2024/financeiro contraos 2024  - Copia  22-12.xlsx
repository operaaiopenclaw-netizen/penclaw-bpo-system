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X:\Financeiro\Finaceiro contratos\"/>
    </mc:Choice>
  </mc:AlternateContent>
  <xr:revisionPtr revIDLastSave="0" documentId="8_{F15A9864-2262-437D-A7E1-1AD04727CA35}" xr6:coauthVersionLast="36" xr6:coauthVersionMax="36" xr10:uidLastSave="{00000000-0000-0000-0000-000000000000}"/>
  <bookViews>
    <workbookView xWindow="0" yWindow="0" windowWidth="24000" windowHeight="9405" firstSheet="2" activeTab="5" xr2:uid="{00000000-000D-0000-FFFF-FFFF00000000}"/>
  </bookViews>
  <sheets>
    <sheet name="GERAL RECEITA X DESPESA " sheetId="4" r:id="rId1"/>
    <sheet name="ACERTO ENTRE CONTAS  (2)" sheetId="9" r:id="rId2"/>
    <sheet name="Planilha1" sheetId="11" r:id="rId3"/>
    <sheet name="ROYOLTS " sheetId="7" r:id="rId4"/>
    <sheet name="ROYOLTS COM A CORREÇÃO DO COFFE" sheetId="10" r:id="rId5"/>
    <sheet name="BUFFET DESPESA X RECEITA " sheetId="6" r:id="rId6"/>
  </sheets>
  <definedNames>
    <definedName name="_xlnm._FilterDatabase" localSheetId="3" hidden="1">'ROYOLTS '!$B$4:$L$4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9" l="1"/>
  <c r="C104" i="9"/>
  <c r="C84" i="9"/>
  <c r="C8" i="9"/>
  <c r="C10" i="9" s="1"/>
  <c r="C11" i="9" l="1"/>
  <c r="C31" i="9" l="1"/>
  <c r="S46" i="6" l="1"/>
  <c r="R46" i="6"/>
  <c r="Q2" i="6" l="1"/>
  <c r="Q98" i="6"/>
  <c r="Q107" i="6"/>
  <c r="Q120" i="6"/>
  <c r="Q115" i="6"/>
  <c r="Q116" i="6"/>
  <c r="Q117" i="6"/>
  <c r="Q119" i="6"/>
  <c r="Q125" i="6"/>
  <c r="Q133" i="6"/>
  <c r="Q139" i="6"/>
  <c r="Q140" i="6"/>
  <c r="Q142" i="6"/>
  <c r="B140" i="9"/>
  <c r="B120" i="9"/>
  <c r="B70" i="9"/>
  <c r="B122" i="9"/>
  <c r="B123" i="9"/>
  <c r="D120" i="9"/>
  <c r="B121" i="9"/>
  <c r="L32" i="10"/>
  <c r="L31" i="10"/>
  <c r="L30" i="10"/>
  <c r="L28" i="10"/>
  <c r="L26" i="10"/>
  <c r="L22" i="10"/>
  <c r="L19" i="10"/>
  <c r="M21" i="10" s="1"/>
  <c r="L20" i="10"/>
  <c r="L21" i="10"/>
  <c r="L12" i="10"/>
  <c r="L13" i="10"/>
  <c r="L14" i="10"/>
  <c r="L15" i="10"/>
  <c r="L16" i="10"/>
  <c r="L17" i="10"/>
  <c r="L18" i="10"/>
  <c r="L10" i="10"/>
  <c r="L11" i="10"/>
  <c r="L9" i="10"/>
  <c r="L7" i="10"/>
  <c r="L8" i="10"/>
  <c r="L66" i="10"/>
  <c r="L64" i="10"/>
  <c r="L60" i="10"/>
  <c r="L59" i="10"/>
  <c r="L53" i="10"/>
  <c r="L41" i="7"/>
  <c r="B14" i="9" l="1"/>
  <c r="B124" i="9" s="1"/>
  <c r="B125" i="9" s="1"/>
  <c r="B129" i="9" l="1"/>
  <c r="B37" i="9"/>
  <c r="L40" i="7"/>
  <c r="L27" i="7"/>
  <c r="H53" i="10" l="1"/>
  <c r="H41" i="10"/>
  <c r="I70" i="10"/>
  <c r="I69" i="10"/>
  <c r="I68" i="10"/>
  <c r="I67" i="10"/>
  <c r="I66" i="10"/>
  <c r="K66" i="10" s="1"/>
  <c r="I65" i="10"/>
  <c r="I64" i="10"/>
  <c r="H63" i="10"/>
  <c r="I63" i="10" s="1"/>
  <c r="H62" i="10"/>
  <c r="I62" i="10" s="1"/>
  <c r="F62" i="10"/>
  <c r="I61" i="10"/>
  <c r="I60" i="10"/>
  <c r="I59" i="10"/>
  <c r="G59" i="10"/>
  <c r="I58" i="10"/>
  <c r="I57" i="10"/>
  <c r="H56" i="10"/>
  <c r="I56" i="10" s="1"/>
  <c r="I55" i="10"/>
  <c r="K55" i="10" s="1"/>
  <c r="I54" i="10"/>
  <c r="K54" i="10" s="1"/>
  <c r="L54" i="10" s="1"/>
  <c r="I53" i="10"/>
  <c r="J53" i="10" s="1"/>
  <c r="H52" i="10"/>
  <c r="I52" i="10" s="1"/>
  <c r="I51" i="10"/>
  <c r="K51" i="10" s="1"/>
  <c r="L51" i="10" s="1"/>
  <c r="I50" i="10"/>
  <c r="I49" i="10"/>
  <c r="I48" i="10"/>
  <c r="I47" i="10"/>
  <c r="K47" i="10" s="1"/>
  <c r="L47" i="10" s="1"/>
  <c r="I46" i="10"/>
  <c r="K46" i="10" s="1"/>
  <c r="L46" i="10" s="1"/>
  <c r="F46" i="10"/>
  <c r="H45" i="10"/>
  <c r="I45" i="10" s="1"/>
  <c r="F45" i="10"/>
  <c r="I44" i="10"/>
  <c r="H44" i="10"/>
  <c r="H43" i="10"/>
  <c r="I43" i="10" s="1"/>
  <c r="K42" i="10"/>
  <c r="I42" i="10"/>
  <c r="I41" i="10"/>
  <c r="H39" i="10"/>
  <c r="I39" i="10" s="1"/>
  <c r="G39" i="10"/>
  <c r="H38" i="10"/>
  <c r="G38" i="10"/>
  <c r="I38" i="10" s="1"/>
  <c r="K37" i="10"/>
  <c r="I37" i="10"/>
  <c r="I36" i="10"/>
  <c r="K36" i="10" s="1"/>
  <c r="L36" i="10" s="1"/>
  <c r="G35" i="10"/>
  <c r="I35" i="10" s="1"/>
  <c r="H34" i="10"/>
  <c r="I34" i="10" s="1"/>
  <c r="H33" i="10"/>
  <c r="I33" i="10" s="1"/>
  <c r="H32" i="10"/>
  <c r="I32" i="10" s="1"/>
  <c r="H31" i="10"/>
  <c r="I31" i="10" s="1"/>
  <c r="I30" i="10"/>
  <c r="K30" i="10" s="1"/>
  <c r="I29" i="10"/>
  <c r="H28" i="10"/>
  <c r="I28" i="10" s="1"/>
  <c r="J28" i="10" s="1"/>
  <c r="H26" i="10"/>
  <c r="I26" i="10" s="1"/>
  <c r="I25" i="10"/>
  <c r="K25" i="10" s="1"/>
  <c r="L25" i="10" s="1"/>
  <c r="H24" i="10"/>
  <c r="I24" i="10" s="1"/>
  <c r="K23" i="10"/>
  <c r="L23" i="10" s="1"/>
  <c r="I23" i="10"/>
  <c r="I22" i="10"/>
  <c r="J22" i="10" s="1"/>
  <c r="H21" i="10"/>
  <c r="I21" i="10" s="1"/>
  <c r="H20" i="10"/>
  <c r="I20" i="10" s="1"/>
  <c r="F20" i="10"/>
  <c r="K19" i="10"/>
  <c r="I19" i="10"/>
  <c r="J19" i="10" s="1"/>
  <c r="H19" i="10"/>
  <c r="H18" i="10"/>
  <c r="I18" i="10" s="1"/>
  <c r="H17" i="10"/>
  <c r="I17" i="10" s="1"/>
  <c r="I16" i="10"/>
  <c r="J16" i="10" s="1"/>
  <c r="J15" i="10"/>
  <c r="H14" i="10"/>
  <c r="I14" i="10" s="1"/>
  <c r="H13" i="10"/>
  <c r="I13" i="10" s="1"/>
  <c r="I12" i="10"/>
  <c r="K11" i="10"/>
  <c r="I11" i="10"/>
  <c r="H10" i="10"/>
  <c r="I10" i="10" s="1"/>
  <c r="H9" i="10"/>
  <c r="I9" i="10" s="1"/>
  <c r="K9" i="10" s="1"/>
  <c r="H8" i="10"/>
  <c r="I8" i="10" s="1"/>
  <c r="K8" i="10" s="1"/>
  <c r="H7" i="10"/>
  <c r="I7" i="10" s="1"/>
  <c r="K7" i="10" s="1"/>
  <c r="F7" i="10"/>
  <c r="I6" i="10"/>
  <c r="K6" i="10" s="1"/>
  <c r="H6" i="10"/>
  <c r="F6" i="10"/>
  <c r="H5" i="10"/>
  <c r="I5" i="10" s="1"/>
  <c r="K5" i="10" s="1"/>
  <c r="J15" i="7"/>
  <c r="L15" i="7" s="1"/>
  <c r="J45" i="10" l="1"/>
  <c r="K45" i="10"/>
  <c r="J7" i="10"/>
  <c r="L37" i="10"/>
  <c r="L42" i="10"/>
  <c r="J12" i="10"/>
  <c r="K16" i="10"/>
  <c r="J70" i="10"/>
  <c r="K12" i="10"/>
  <c r="K70" i="10"/>
  <c r="L70" i="10" s="1"/>
  <c r="J66" i="10"/>
  <c r="K22" i="10"/>
  <c r="K48" i="10"/>
  <c r="L48" i="10" s="1"/>
  <c r="L55" i="10"/>
  <c r="K53" i="10"/>
  <c r="K63" i="10"/>
  <c r="L63" i="10" s="1"/>
  <c r="K31" i="10"/>
  <c r="K33" i="10"/>
  <c r="L33" i="10" s="1"/>
  <c r="K52" i="10"/>
  <c r="L52" i="10" s="1"/>
  <c r="K14" i="10"/>
  <c r="J14" i="10"/>
  <c r="K21" i="10"/>
  <c r="J21" i="10"/>
  <c r="K28" i="10"/>
  <c r="K32" i="10"/>
  <c r="J32" i="10"/>
  <c r="L6" i="10"/>
  <c r="J10" i="10"/>
  <c r="K17" i="10"/>
  <c r="J9" i="10"/>
  <c r="K10" i="10"/>
  <c r="J17" i="10"/>
  <c r="L29" i="10"/>
  <c r="K29" i="10"/>
  <c r="J31" i="10"/>
  <c r="K34" i="10"/>
  <c r="L34" i="10" s="1"/>
  <c r="J34" i="10"/>
  <c r="K18" i="10"/>
  <c r="J18" i="10"/>
  <c r="L5" i="10"/>
  <c r="M5" i="10" s="1"/>
  <c r="J8" i="10"/>
  <c r="J11" i="10"/>
  <c r="K13" i="10"/>
  <c r="J13" i="10"/>
  <c r="K20" i="10"/>
  <c r="J20" i="10"/>
  <c r="K24" i="10"/>
  <c r="L24" i="10" s="1"/>
  <c r="M25" i="10" s="1"/>
  <c r="K26" i="10"/>
  <c r="K35" i="10"/>
  <c r="L35" i="10" s="1"/>
  <c r="K38" i="10"/>
  <c r="L38" i="10" s="1"/>
  <c r="J38" i="10"/>
  <c r="K56" i="10"/>
  <c r="L56" i="10" s="1"/>
  <c r="K62" i="10"/>
  <c r="L62" i="10" s="1"/>
  <c r="M22" i="10"/>
  <c r="J39" i="10"/>
  <c r="K41" i="10"/>
  <c r="L41" i="10" s="1"/>
  <c r="K43" i="10"/>
  <c r="L43" i="10" s="1"/>
  <c r="J44" i="10"/>
  <c r="L45" i="10"/>
  <c r="K49" i="10"/>
  <c r="L49" i="10" s="1"/>
  <c r="K50" i="10"/>
  <c r="L50" i="10" s="1"/>
  <c r="K57" i="10"/>
  <c r="L57" i="10" s="1"/>
  <c r="K58" i="10"/>
  <c r="L58" i="10" s="1"/>
  <c r="J59" i="10"/>
  <c r="J60" i="10"/>
  <c r="K61" i="10"/>
  <c r="L61" i="10" s="1"/>
  <c r="J64" i="10"/>
  <c r="K65" i="10"/>
  <c r="L65" i="10" s="1"/>
  <c r="J67" i="10"/>
  <c r="J68" i="10"/>
  <c r="J69" i="10"/>
  <c r="K39" i="10"/>
  <c r="L39" i="10" s="1"/>
  <c r="K44" i="10"/>
  <c r="L44" i="10" s="1"/>
  <c r="K59" i="10"/>
  <c r="K60" i="10"/>
  <c r="K64" i="10"/>
  <c r="K67" i="10"/>
  <c r="L67" i="10" s="1"/>
  <c r="K68" i="10"/>
  <c r="L68" i="10" s="1"/>
  <c r="K69" i="10"/>
  <c r="L69" i="10" s="1"/>
  <c r="AF113" i="6"/>
  <c r="AF102" i="6"/>
  <c r="M28" i="10" l="1"/>
  <c r="M42" i="10"/>
  <c r="M66" i="10"/>
  <c r="M57" i="10"/>
  <c r="M18" i="10"/>
  <c r="M34" i="10"/>
  <c r="M49" i="10"/>
  <c r="M11" i="10"/>
  <c r="BC17" i="9"/>
  <c r="AY17" i="9"/>
  <c r="AU17" i="9"/>
  <c r="AQ17" i="9"/>
  <c r="AM17" i="9"/>
  <c r="AI17" i="9"/>
  <c r="AE17" i="9"/>
  <c r="AA17" i="9"/>
  <c r="W17" i="9"/>
  <c r="S17" i="9"/>
  <c r="O17" i="9"/>
  <c r="K17" i="9"/>
  <c r="BE16" i="9"/>
  <c r="BC15" i="9"/>
  <c r="BB15" i="9"/>
  <c r="AY15" i="9"/>
  <c r="AX15" i="9"/>
  <c r="AU15" i="9"/>
  <c r="AT15" i="9"/>
  <c r="AQ15" i="9"/>
  <c r="AP15" i="9"/>
  <c r="AM15" i="9"/>
  <c r="AL15" i="9"/>
  <c r="AI15" i="9"/>
  <c r="AH15" i="9"/>
  <c r="AE15" i="9"/>
  <c r="AD15" i="9"/>
  <c r="AA15" i="9"/>
  <c r="Z15" i="9"/>
  <c r="W15" i="9"/>
  <c r="V15" i="9"/>
  <c r="S15" i="9"/>
  <c r="R15" i="9"/>
  <c r="O15" i="9"/>
  <c r="N15" i="9"/>
  <c r="K15" i="9"/>
  <c r="J15" i="9"/>
  <c r="BE14" i="9"/>
  <c r="BA14" i="9"/>
  <c r="AW14" i="9"/>
  <c r="AS14" i="9"/>
  <c r="AK14" i="9"/>
  <c r="BE13" i="9"/>
  <c r="AS13" i="9"/>
  <c r="BC12" i="9"/>
  <c r="BB12" i="9"/>
  <c r="AY12" i="9"/>
  <c r="AX12" i="9"/>
  <c r="AU12" i="9"/>
  <c r="AT12" i="9"/>
  <c r="AQ12" i="9"/>
  <c r="AP12" i="9"/>
  <c r="AM12" i="9"/>
  <c r="AL12" i="9"/>
  <c r="AI12" i="9"/>
  <c r="AH12" i="9"/>
  <c r="AE12" i="9"/>
  <c r="AD12" i="9"/>
  <c r="AA12" i="9"/>
  <c r="Z12" i="9"/>
  <c r="W12" i="9"/>
  <c r="V12" i="9"/>
  <c r="S12" i="9"/>
  <c r="R12" i="9"/>
  <c r="O12" i="9"/>
  <c r="N12" i="9"/>
  <c r="K12" i="9"/>
  <c r="J12" i="9"/>
  <c r="AI11" i="9"/>
  <c r="AH11" i="9"/>
  <c r="AE11" i="9"/>
  <c r="AD11" i="9"/>
  <c r="AA11" i="9"/>
  <c r="Z11" i="9"/>
  <c r="W11" i="9"/>
  <c r="V11" i="9"/>
  <c r="K11" i="9"/>
  <c r="J11" i="9"/>
  <c r="BA10" i="9"/>
  <c r="BC10" i="9" s="1"/>
  <c r="BE10" i="9" s="1"/>
  <c r="AY10" i="9"/>
  <c r="AX10" i="9"/>
  <c r="AU10" i="9"/>
  <c r="AT10" i="9"/>
  <c r="AQ10" i="9"/>
  <c r="AP10" i="9"/>
  <c r="AM10" i="9"/>
  <c r="AL10" i="9"/>
  <c r="AI10" i="9"/>
  <c r="AH10" i="9"/>
  <c r="AE10" i="9"/>
  <c r="AD10" i="9"/>
  <c r="AA10" i="9"/>
  <c r="Z10" i="9"/>
  <c r="W10" i="9"/>
  <c r="V10" i="9"/>
  <c r="S10" i="9"/>
  <c r="R10" i="9"/>
  <c r="O10" i="9"/>
  <c r="N10" i="9"/>
  <c r="K10" i="9"/>
  <c r="J10" i="9"/>
  <c r="BC9" i="9"/>
  <c r="BB9" i="9"/>
  <c r="AY9" i="9"/>
  <c r="AX9" i="9"/>
  <c r="AU9" i="9"/>
  <c r="AT9" i="9"/>
  <c r="AO9" i="9"/>
  <c r="AP9" i="9" s="1"/>
  <c r="AM9" i="9"/>
  <c r="AL9" i="9"/>
  <c r="AI9" i="9"/>
  <c r="AH9" i="9"/>
  <c r="AE9" i="9"/>
  <c r="AD9" i="9"/>
  <c r="AA9" i="9"/>
  <c r="Z9" i="9"/>
  <c r="W9" i="9"/>
  <c r="V9" i="9"/>
  <c r="S9" i="9"/>
  <c r="R9" i="9"/>
  <c r="O9" i="9"/>
  <c r="N9" i="9"/>
  <c r="K9" i="9"/>
  <c r="J9" i="9"/>
  <c r="BC8" i="9"/>
  <c r="BB8" i="9"/>
  <c r="AW8" i="9"/>
  <c r="AY8" i="9" s="1"/>
  <c r="AU8" i="9"/>
  <c r="AT8" i="9"/>
  <c r="AQ8" i="9"/>
  <c r="AP8" i="9"/>
  <c r="AM8" i="9"/>
  <c r="AL8" i="9"/>
  <c r="AI8" i="9"/>
  <c r="AH8" i="9"/>
  <c r="AE8" i="9"/>
  <c r="AD8" i="9"/>
  <c r="AA8" i="9"/>
  <c r="Z8" i="9"/>
  <c r="W8" i="9"/>
  <c r="V8" i="9"/>
  <c r="S8" i="9"/>
  <c r="R8" i="9"/>
  <c r="O8" i="9"/>
  <c r="N8" i="9"/>
  <c r="K8" i="9"/>
  <c r="J8" i="9"/>
  <c r="BC7" i="9"/>
  <c r="BB7" i="9"/>
  <c r="AY7" i="9"/>
  <c r="AX7" i="9"/>
  <c r="AS7" i="9"/>
  <c r="AU7" i="9" s="1"/>
  <c r="AQ7" i="9"/>
  <c r="AP7" i="9"/>
  <c r="AM7" i="9"/>
  <c r="AL7" i="9"/>
  <c r="AI7" i="9"/>
  <c r="AH7" i="9"/>
  <c r="AE7" i="9"/>
  <c r="AD7" i="9"/>
  <c r="AA7" i="9"/>
  <c r="Z7" i="9"/>
  <c r="W7" i="9"/>
  <c r="V7" i="9"/>
  <c r="S7" i="9"/>
  <c r="R7" i="9"/>
  <c r="O7" i="9"/>
  <c r="N7" i="9"/>
  <c r="K7" i="9"/>
  <c r="J7" i="9"/>
  <c r="BE6" i="9"/>
  <c r="AS6" i="9"/>
  <c r="BC5" i="9"/>
  <c r="BE5" i="9" s="1"/>
  <c r="BB5" i="9"/>
  <c r="AY5" i="9"/>
  <c r="AX5" i="9"/>
  <c r="AU5" i="9"/>
  <c r="AT5" i="9"/>
  <c r="AO5" i="9"/>
  <c r="AQ5" i="9" s="1"/>
  <c r="AM5" i="9"/>
  <c r="AL5" i="9"/>
  <c r="AI5" i="9"/>
  <c r="AH5" i="9"/>
  <c r="AE5" i="9"/>
  <c r="AD5" i="9"/>
  <c r="AA5" i="9"/>
  <c r="Z5" i="9"/>
  <c r="W5" i="9"/>
  <c r="V5" i="9"/>
  <c r="S5" i="9"/>
  <c r="R5" i="9"/>
  <c r="K5" i="9"/>
  <c r="J5" i="9"/>
  <c r="BC4" i="9"/>
  <c r="BB4" i="9"/>
  <c r="AW4" i="9"/>
  <c r="AY4" i="9" s="1"/>
  <c r="AY20" i="9" s="1"/>
  <c r="B12" i="9" s="1"/>
  <c r="AU4" i="9"/>
  <c r="AT4" i="9"/>
  <c r="AQ4" i="9"/>
  <c r="AP4" i="9"/>
  <c r="AM4" i="9"/>
  <c r="AL4" i="9"/>
  <c r="AI4" i="9"/>
  <c r="AH4" i="9"/>
  <c r="AE4" i="9"/>
  <c r="AE20" i="9" s="1"/>
  <c r="AD4" i="9"/>
  <c r="AA4" i="9"/>
  <c r="Z4" i="9"/>
  <c r="W4" i="9"/>
  <c r="V4" i="9"/>
  <c r="S4" i="9"/>
  <c r="R4" i="9"/>
  <c r="O4" i="9"/>
  <c r="O20" i="9" s="1"/>
  <c r="B3" i="9" s="1"/>
  <c r="N4" i="9"/>
  <c r="K4" i="9"/>
  <c r="J4" i="9"/>
  <c r="AQ9" i="9" l="1"/>
  <c r="AM20" i="9"/>
  <c r="B9" i="9" s="1"/>
  <c r="M69" i="10"/>
  <c r="W20" i="9"/>
  <c r="B5" i="9" s="1"/>
  <c r="BE12" i="9"/>
  <c r="AP5" i="9"/>
  <c r="S20" i="9"/>
  <c r="B4" i="9" s="1"/>
  <c r="AA20" i="9"/>
  <c r="B6" i="9" s="1"/>
  <c r="AI20" i="9"/>
  <c r="B8" i="9" s="1"/>
  <c r="AX4" i="9"/>
  <c r="BE7" i="9"/>
  <c r="BB10" i="9"/>
  <c r="BE11" i="9"/>
  <c r="BC20" i="9"/>
  <c r="B13" i="9" s="1"/>
  <c r="K20" i="9"/>
  <c r="B2" i="9" s="1"/>
  <c r="BE9" i="9"/>
  <c r="BE15" i="9"/>
  <c r="AU20" i="9"/>
  <c r="B11" i="9" s="1"/>
  <c r="BE8" i="9"/>
  <c r="BE4" i="9"/>
  <c r="AT7" i="9"/>
  <c r="AX8" i="9"/>
  <c r="B110" i="9" l="1"/>
  <c r="U128" i="6" l="1"/>
  <c r="AK163" i="6" l="1"/>
  <c r="W140" i="6"/>
  <c r="H64" i="9" l="1"/>
  <c r="H68" i="9" s="1"/>
  <c r="B71" i="9" s="1"/>
  <c r="B90" i="9" l="1"/>
  <c r="F93" i="9"/>
  <c r="L90" i="9"/>
  <c r="G90" i="9"/>
  <c r="F90" i="9"/>
  <c r="L89" i="9"/>
  <c r="G89" i="9"/>
  <c r="H89" i="9" s="1"/>
  <c r="F89" i="9"/>
  <c r="L88" i="9"/>
  <c r="G88" i="9"/>
  <c r="F88" i="9"/>
  <c r="L87" i="9"/>
  <c r="G87" i="9"/>
  <c r="F87" i="9"/>
  <c r="M87" i="9" s="1"/>
  <c r="L86" i="9"/>
  <c r="G86" i="9"/>
  <c r="F86" i="9"/>
  <c r="L85" i="9"/>
  <c r="G85" i="9"/>
  <c r="F85" i="9"/>
  <c r="L84" i="9"/>
  <c r="G84" i="9"/>
  <c r="F84" i="9"/>
  <c r="G83" i="9"/>
  <c r="F83" i="9"/>
  <c r="M83" i="9" s="1"/>
  <c r="G82" i="9"/>
  <c r="F82" i="9"/>
  <c r="M82" i="9" s="1"/>
  <c r="G81" i="9"/>
  <c r="F81" i="9"/>
  <c r="M81" i="9" s="1"/>
  <c r="G80" i="9"/>
  <c r="F80" i="9"/>
  <c r="M80" i="9" s="1"/>
  <c r="G79" i="9"/>
  <c r="F79" i="9"/>
  <c r="M79" i="9" s="1"/>
  <c r="H81" i="9" l="1"/>
  <c r="N81" i="9" s="1"/>
  <c r="O81" i="9" s="1"/>
  <c r="P81" i="9" s="1"/>
  <c r="H85" i="9"/>
  <c r="H82" i="9"/>
  <c r="N82" i="9" s="1"/>
  <c r="O82" i="9" s="1"/>
  <c r="P82" i="9" s="1"/>
  <c r="H88" i="9"/>
  <c r="N88" i="9" s="1"/>
  <c r="O88" i="9" s="1"/>
  <c r="P88" i="9" s="1"/>
  <c r="M90" i="9"/>
  <c r="H80" i="9"/>
  <c r="N80" i="9" s="1"/>
  <c r="O80" i="9" s="1"/>
  <c r="P80" i="9" s="1"/>
  <c r="H84" i="9"/>
  <c r="N84" i="9" s="1"/>
  <c r="O84" i="9" s="1"/>
  <c r="P84" i="9" s="1"/>
  <c r="M86" i="9"/>
  <c r="M84" i="9"/>
  <c r="N85" i="9"/>
  <c r="O85" i="9" s="1"/>
  <c r="P85" i="9" s="1"/>
  <c r="M88" i="9"/>
  <c r="N89" i="9"/>
  <c r="O89" i="9" s="1"/>
  <c r="P89" i="9" s="1"/>
  <c r="H87" i="9"/>
  <c r="N87" i="9" s="1"/>
  <c r="O87" i="9" s="1"/>
  <c r="P87" i="9" s="1"/>
  <c r="H79" i="9"/>
  <c r="N79" i="9" s="1"/>
  <c r="O79" i="9" s="1"/>
  <c r="H83" i="9"/>
  <c r="N83" i="9" s="1"/>
  <c r="O83" i="9" s="1"/>
  <c r="P83" i="9" s="1"/>
  <c r="M85" i="9"/>
  <c r="H86" i="9"/>
  <c r="N86" i="9" s="1"/>
  <c r="O86" i="9" s="1"/>
  <c r="P86" i="9" s="1"/>
  <c r="M89" i="9"/>
  <c r="H90" i="9"/>
  <c r="N90" i="9" s="1"/>
  <c r="O90" i="9" s="1"/>
  <c r="P90" i="9" s="1"/>
  <c r="B55" i="9"/>
  <c r="N51" i="9"/>
  <c r="O51" i="9" s="1"/>
  <c r="N50" i="9"/>
  <c r="O50" i="9" s="1"/>
  <c r="N49" i="9"/>
  <c r="O49" i="9" s="1"/>
  <c r="N48" i="9"/>
  <c r="O48" i="9" s="1"/>
  <c r="N47" i="9"/>
  <c r="O47" i="9" s="1"/>
  <c r="N46" i="9"/>
  <c r="O46" i="9" s="1"/>
  <c r="M46" i="9" s="1"/>
  <c r="P45" i="9"/>
  <c r="N45" i="9"/>
  <c r="O45" i="9" s="1"/>
  <c r="N44" i="9"/>
  <c r="O44" i="9" s="1"/>
  <c r="B131" i="9" l="1"/>
  <c r="G93" i="9"/>
  <c r="P79" i="9"/>
  <c r="O91" i="9"/>
  <c r="N91" i="9"/>
  <c r="Q44" i="9"/>
  <c r="M44" i="9"/>
  <c r="Q50" i="9"/>
  <c r="M50" i="9"/>
  <c r="M47" i="9"/>
  <c r="Q47" i="9"/>
  <c r="M51" i="9"/>
  <c r="P51" i="9" s="1"/>
  <c r="Q51" i="9"/>
  <c r="R51" i="9" s="1"/>
  <c r="Q49" i="9"/>
  <c r="M49" i="9"/>
  <c r="Q45" i="9"/>
  <c r="M45" i="9"/>
  <c r="Q48" i="9"/>
  <c r="M48" i="9"/>
  <c r="Q46" i="9"/>
  <c r="R46" i="9" s="1"/>
  <c r="AJ78" i="4"/>
  <c r="AJ79" i="4"/>
  <c r="AK79" i="4" s="1"/>
  <c r="AK78" i="4"/>
  <c r="I37" i="7"/>
  <c r="K37" i="7" l="1"/>
  <c r="L37" i="7"/>
  <c r="P91" i="9"/>
  <c r="R47" i="9"/>
  <c r="Q52" i="9"/>
  <c r="R45" i="9"/>
  <c r="G59" i="7"/>
  <c r="AX62" i="4"/>
  <c r="AJ142" i="6" l="1"/>
  <c r="R140" i="6"/>
  <c r="R141" i="6"/>
  <c r="R142" i="6"/>
  <c r="R143" i="6"/>
  <c r="R144" i="6"/>
  <c r="R145" i="6"/>
  <c r="R146" i="6"/>
  <c r="R147" i="6"/>
  <c r="R148" i="6"/>
  <c r="R149" i="6"/>
  <c r="R150" i="6"/>
  <c r="K120" i="6"/>
  <c r="W120" i="6"/>
  <c r="AI133" i="6"/>
  <c r="W133" i="6"/>
  <c r="AM146" i="6" l="1"/>
  <c r="AM147" i="6"/>
  <c r="AM148" i="6"/>
  <c r="AM149" i="6"/>
  <c r="AM150" i="6"/>
  <c r="AJ140" i="6"/>
  <c r="AK140" i="6" s="1"/>
  <c r="AJ141" i="6"/>
  <c r="AK141" i="6" s="1"/>
  <c r="AK142" i="6"/>
  <c r="AJ143" i="6"/>
  <c r="AK143" i="6" s="1"/>
  <c r="AJ144" i="6"/>
  <c r="AK144" i="6" s="1"/>
  <c r="AJ145" i="6"/>
  <c r="AK145" i="6" s="1"/>
  <c r="AJ146" i="6"/>
  <c r="AK146" i="6" s="1"/>
  <c r="AJ147" i="6"/>
  <c r="AK147" i="6" s="1"/>
  <c r="AJ148" i="6"/>
  <c r="AK148" i="6" s="1"/>
  <c r="W139" i="6"/>
  <c r="Q136" i="6"/>
  <c r="Q137" i="6"/>
  <c r="Q138" i="6"/>
  <c r="Q141" i="6"/>
  <c r="Q143" i="6"/>
  <c r="Q144" i="6"/>
  <c r="Q145" i="6"/>
  <c r="W123" i="6"/>
  <c r="I66" i="7"/>
  <c r="AO14" i="4"/>
  <c r="AJ13" i="4"/>
  <c r="AJ14" i="4"/>
  <c r="AJ15" i="4"/>
  <c r="O14" i="4"/>
  <c r="J66" i="7" l="1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L140" i="6"/>
  <c r="AL141" i="6"/>
  <c r="AL142" i="6"/>
  <c r="AL143" i="6"/>
  <c r="AJ119" i="6"/>
  <c r="AK119" i="6" s="1"/>
  <c r="AL119" i="6" s="1"/>
  <c r="AJ120" i="6"/>
  <c r="AK120" i="6" s="1"/>
  <c r="AL120" i="6" s="1"/>
  <c r="AJ121" i="6"/>
  <c r="AK121" i="6" s="1"/>
  <c r="AL121" i="6" s="1"/>
  <c r="AJ122" i="6"/>
  <c r="AK122" i="6" s="1"/>
  <c r="AL122" i="6" s="1"/>
  <c r="AJ123" i="6"/>
  <c r="AK123" i="6" s="1"/>
  <c r="AL123" i="6" s="1"/>
  <c r="AJ124" i="6"/>
  <c r="AK124" i="6" s="1"/>
  <c r="AL124" i="6" s="1"/>
  <c r="AJ125" i="6"/>
  <c r="AK125" i="6" s="1"/>
  <c r="AJ126" i="6"/>
  <c r="AK126" i="6" s="1"/>
  <c r="AL126" i="6" s="1"/>
  <c r="AJ127" i="6"/>
  <c r="AK127" i="6" s="1"/>
  <c r="AL127" i="6" s="1"/>
  <c r="AJ128" i="6"/>
  <c r="AK128" i="6" s="1"/>
  <c r="AL128" i="6" s="1"/>
  <c r="AJ129" i="6"/>
  <c r="AK129" i="6" s="1"/>
  <c r="AL129" i="6" s="1"/>
  <c r="AJ130" i="6"/>
  <c r="AK130" i="6" s="1"/>
  <c r="AL130" i="6" s="1"/>
  <c r="AJ131" i="6"/>
  <c r="AK131" i="6" s="1"/>
  <c r="AL131" i="6" s="1"/>
  <c r="AJ132" i="6"/>
  <c r="AK132" i="6" s="1"/>
  <c r="AL132" i="6" s="1"/>
  <c r="AJ133" i="6"/>
  <c r="AK133" i="6" s="1"/>
  <c r="AL133" i="6" s="1"/>
  <c r="AJ134" i="6"/>
  <c r="AK134" i="6" s="1"/>
  <c r="AL134" i="6" s="1"/>
  <c r="AJ135" i="6"/>
  <c r="AK135" i="6" s="1"/>
  <c r="AL135" i="6" s="1"/>
  <c r="AJ136" i="6"/>
  <c r="AK136" i="6" s="1"/>
  <c r="AL136" i="6" s="1"/>
  <c r="AJ137" i="6"/>
  <c r="AK137" i="6" s="1"/>
  <c r="AL137" i="6" s="1"/>
  <c r="AJ138" i="6"/>
  <c r="AK138" i="6" s="1"/>
  <c r="AL138" i="6" s="1"/>
  <c r="AJ139" i="6"/>
  <c r="AK139" i="6" s="1"/>
  <c r="AL139" i="6" s="1"/>
  <c r="S142" i="6"/>
  <c r="S143" i="6"/>
  <c r="S144" i="6"/>
  <c r="AM144" i="6" s="1"/>
  <c r="S145" i="6"/>
  <c r="AM145" i="6" s="1"/>
  <c r="R118" i="6"/>
  <c r="S118" i="6" s="1"/>
  <c r="R119" i="6"/>
  <c r="S119" i="6" s="1"/>
  <c r="R120" i="6"/>
  <c r="S120" i="6" s="1"/>
  <c r="R121" i="6"/>
  <c r="S121" i="6" s="1"/>
  <c r="R122" i="6"/>
  <c r="S122" i="6" s="1"/>
  <c r="R123" i="6"/>
  <c r="S123" i="6" s="1"/>
  <c r="R124" i="6"/>
  <c r="S124" i="6" s="1"/>
  <c r="R125" i="6"/>
  <c r="S125" i="6" s="1"/>
  <c r="R126" i="6"/>
  <c r="S126" i="6" s="1"/>
  <c r="R127" i="6"/>
  <c r="S127" i="6" s="1"/>
  <c r="R128" i="6"/>
  <c r="S128" i="6" s="1"/>
  <c r="R129" i="6"/>
  <c r="S129" i="6" s="1"/>
  <c r="R130" i="6"/>
  <c r="S130" i="6" s="1"/>
  <c r="R131" i="6"/>
  <c r="S131" i="6" s="1"/>
  <c r="R132" i="6"/>
  <c r="S132" i="6" s="1"/>
  <c r="R133" i="6"/>
  <c r="S133" i="6" s="1"/>
  <c r="R134" i="6"/>
  <c r="S134" i="6" s="1"/>
  <c r="R135" i="6"/>
  <c r="S135" i="6" s="1"/>
  <c r="R136" i="6"/>
  <c r="S136" i="6" s="1"/>
  <c r="R137" i="6"/>
  <c r="S137" i="6" s="1"/>
  <c r="R138" i="6"/>
  <c r="S138" i="6" s="1"/>
  <c r="R139" i="6"/>
  <c r="S139" i="6" s="1"/>
  <c r="S140" i="6"/>
  <c r="S141" i="6"/>
  <c r="Q124" i="6"/>
  <c r="Q126" i="6"/>
  <c r="Q127" i="6"/>
  <c r="Q128" i="6"/>
  <c r="Q129" i="6"/>
  <c r="Q130" i="6"/>
  <c r="Q131" i="6"/>
  <c r="Q132" i="6"/>
  <c r="Q134" i="6"/>
  <c r="Q135" i="6"/>
  <c r="AM136" i="6" l="1"/>
  <c r="AM140" i="6"/>
  <c r="AM143" i="6"/>
  <c r="AM142" i="6"/>
  <c r="AM141" i="6"/>
  <c r="AM133" i="6"/>
  <c r="AM138" i="6"/>
  <c r="AM135" i="6"/>
  <c r="AM126" i="6"/>
  <c r="AM122" i="6"/>
  <c r="AM120" i="6"/>
  <c r="AS120" i="6" s="1"/>
  <c r="AM131" i="6"/>
  <c r="AM128" i="6"/>
  <c r="AM124" i="6"/>
  <c r="AM121" i="6"/>
  <c r="AM130" i="6"/>
  <c r="AM129" i="6"/>
  <c r="AM119" i="6"/>
  <c r="AM139" i="6"/>
  <c r="AO139" i="6" s="1"/>
  <c r="AM132" i="6"/>
  <c r="AM137" i="6"/>
  <c r="AM134" i="6"/>
  <c r="AM127" i="6"/>
  <c r="AM123" i="6"/>
  <c r="BW56" i="4"/>
  <c r="CD38" i="4"/>
  <c r="CD32" i="4"/>
  <c r="CD20" i="4"/>
  <c r="CD19" i="4"/>
  <c r="CD68" i="4"/>
  <c r="CD53" i="4"/>
  <c r="CD72" i="4"/>
  <c r="CD49" i="4"/>
  <c r="CD37" i="4"/>
  <c r="CE35" i="4"/>
  <c r="CD34" i="4"/>
  <c r="CD33" i="4"/>
  <c r="CD30" i="4"/>
  <c r="CD29" i="4"/>
  <c r="CD27" i="4"/>
  <c r="CD24" i="4"/>
  <c r="CD23" i="4"/>
  <c r="CD22" i="4"/>
  <c r="CD21" i="4"/>
  <c r="CD17" i="4"/>
  <c r="CD16" i="4"/>
  <c r="CD14" i="4"/>
  <c r="CD12" i="4"/>
  <c r="CD11" i="4"/>
  <c r="CD10" i="4"/>
  <c r="CD9" i="4"/>
  <c r="CD8" i="4"/>
  <c r="CD7" i="4"/>
  <c r="CD5" i="4"/>
  <c r="CD67" i="4"/>
  <c r="CD64" i="4"/>
  <c r="CD65" i="4"/>
  <c r="CD63" i="4"/>
  <c r="CD61" i="4"/>
  <c r="BR46" i="4"/>
  <c r="BR50" i="4"/>
  <c r="BR33" i="4"/>
  <c r="BR26" i="4"/>
  <c r="BR27" i="4"/>
  <c r="BR28" i="4"/>
  <c r="BR13" i="4"/>
  <c r="BR59" i="4"/>
  <c r="BR73" i="4"/>
  <c r="BR63" i="4"/>
  <c r="BR62" i="4"/>
  <c r="BT65" i="4"/>
  <c r="BT64" i="4"/>
  <c r="BT51" i="4"/>
  <c r="CH61" i="4" l="1"/>
  <c r="BY61" i="4"/>
  <c r="CI61" i="4" s="1"/>
  <c r="CI79" i="4"/>
  <c r="CI46" i="4"/>
  <c r="CI50" i="4"/>
  <c r="CI51" i="4"/>
  <c r="CI52" i="4"/>
  <c r="CI55" i="4"/>
  <c r="CI56" i="4"/>
  <c r="CI58" i="4"/>
  <c r="CI62" i="4"/>
  <c r="CI63" i="4"/>
  <c r="CI64" i="4"/>
  <c r="CI65" i="4"/>
  <c r="CI66" i="4"/>
  <c r="CI67" i="4"/>
  <c r="CI68" i="4"/>
  <c r="CI69" i="4"/>
  <c r="CI70" i="4"/>
  <c r="CI71" i="4"/>
  <c r="CI73" i="4"/>
  <c r="CI74" i="4"/>
  <c r="CI77" i="4"/>
  <c r="C84" i="4" l="1"/>
  <c r="F117" i="4"/>
  <c r="F119" i="4" s="1"/>
  <c r="H63" i="7" l="1"/>
  <c r="O76" i="4" l="1"/>
  <c r="N76" i="4"/>
  <c r="BL2" i="4" l="1"/>
  <c r="BL3" i="4"/>
  <c r="BL4" i="4"/>
  <c r="BL5" i="4"/>
  <c r="BL6" i="4"/>
  <c r="BL62" i="4"/>
  <c r="BL63" i="4"/>
  <c r="BL65" i="4"/>
  <c r="BL66" i="4"/>
  <c r="BL67" i="4"/>
  <c r="BL68" i="4"/>
  <c r="BL69" i="4"/>
  <c r="BL70" i="4"/>
  <c r="BL71" i="4"/>
  <c r="BL73" i="4"/>
  <c r="BL74" i="4"/>
  <c r="BL75" i="4"/>
  <c r="BL77" i="4"/>
  <c r="BL78" i="4"/>
  <c r="BL79" i="4"/>
  <c r="CG75" i="4"/>
  <c r="BU72" i="4"/>
  <c r="BS72" i="4"/>
  <c r="BR60" i="4"/>
  <c r="CI60" i="4" s="1"/>
  <c r="BR54" i="4"/>
  <c r="CI54" i="4" s="1"/>
  <c r="BR49" i="4"/>
  <c r="BR48" i="4"/>
  <c r="CI48" i="4" s="1"/>
  <c r="CI72" i="4" l="1"/>
  <c r="BU53" i="4"/>
  <c r="CD59" i="4" l="1"/>
  <c r="CI59" i="4" s="1"/>
  <c r="CD57" i="4"/>
  <c r="CI57" i="4" s="1"/>
  <c r="CD76" i="4"/>
  <c r="CI76" i="4" s="1"/>
  <c r="CD75" i="4"/>
  <c r="CI75" i="4" s="1"/>
  <c r="CI53" i="4"/>
  <c r="CI49" i="4"/>
  <c r="I59" i="7" l="1"/>
  <c r="J59" i="7" l="1"/>
  <c r="AX60" i="4"/>
  <c r="AX61" i="4"/>
  <c r="AX63" i="4"/>
  <c r="AX64" i="4"/>
  <c r="AX65" i="4"/>
  <c r="AX66" i="4"/>
  <c r="AX67" i="4"/>
  <c r="F7" i="7" l="1"/>
  <c r="H7" i="7"/>
  <c r="H18" i="7"/>
  <c r="H17" i="7"/>
  <c r="H14" i="7" l="1"/>
  <c r="H19" i="7"/>
  <c r="H9" i="7"/>
  <c r="H21" i="7"/>
  <c r="H20" i="7"/>
  <c r="F20" i="7"/>
  <c r="H8" i="7"/>
  <c r="H6" i="7"/>
  <c r="F6" i="7"/>
  <c r="H13" i="7"/>
  <c r="H34" i="7"/>
  <c r="H32" i="7"/>
  <c r="F46" i="7" l="1"/>
  <c r="G39" i="7"/>
  <c r="H39" i="7"/>
  <c r="H44" i="7"/>
  <c r="I44" i="7" s="1"/>
  <c r="H10" i="7"/>
  <c r="I10" i="7" s="1"/>
  <c r="H28" i="7"/>
  <c r="I28" i="7" s="1"/>
  <c r="H5" i="7"/>
  <c r="I5" i="7" s="1"/>
  <c r="H31" i="7"/>
  <c r="I31" i="7" s="1"/>
  <c r="H26" i="7"/>
  <c r="I26" i="7" s="1"/>
  <c r="I22" i="7"/>
  <c r="I11" i="7"/>
  <c r="I46" i="7"/>
  <c r="I32" i="7"/>
  <c r="I34" i="7"/>
  <c r="I13" i="7"/>
  <c r="I6" i="7"/>
  <c r="I8" i="7"/>
  <c r="I20" i="7"/>
  <c r="I21" i="7"/>
  <c r="I9" i="7"/>
  <c r="I19" i="7"/>
  <c r="I12" i="7"/>
  <c r="I14" i="7"/>
  <c r="I54" i="7"/>
  <c r="I53" i="7"/>
  <c r="I17" i="7"/>
  <c r="I18" i="7"/>
  <c r="I7" i="7"/>
  <c r="I50" i="7"/>
  <c r="I58" i="7"/>
  <c r="I57" i="7"/>
  <c r="I64" i="7"/>
  <c r="I63" i="7"/>
  <c r="I60" i="7"/>
  <c r="I65" i="7"/>
  <c r="I51" i="7"/>
  <c r="I67" i="7"/>
  <c r="J67" i="7" s="1"/>
  <c r="I68" i="7"/>
  <c r="J68" i="7" s="1"/>
  <c r="I69" i="7"/>
  <c r="J69" i="7" s="1"/>
  <c r="I70" i="7"/>
  <c r="J70" i="7" s="1"/>
  <c r="I71" i="7"/>
  <c r="J71" i="7" s="1"/>
  <c r="I72" i="7"/>
  <c r="J72" i="7" s="1"/>
  <c r="I73" i="7"/>
  <c r="J73" i="7" s="1"/>
  <c r="I74" i="7"/>
  <c r="J74" i="7" s="1"/>
  <c r="I75" i="7"/>
  <c r="J75" i="7" s="1"/>
  <c r="I76" i="7"/>
  <c r="J76" i="7" s="1"/>
  <c r="I77" i="7"/>
  <c r="J77" i="7" s="1"/>
  <c r="I78" i="7"/>
  <c r="J78" i="7" s="1"/>
  <c r="I79" i="7"/>
  <c r="J79" i="7" s="1"/>
  <c r="I80" i="7"/>
  <c r="J80" i="7" s="1"/>
  <c r="I81" i="7"/>
  <c r="J81" i="7" s="1"/>
  <c r="I82" i="7"/>
  <c r="J82" i="7" s="1"/>
  <c r="I83" i="7"/>
  <c r="J83" i="7" s="1"/>
  <c r="I84" i="7"/>
  <c r="J84" i="7" s="1"/>
  <c r="I85" i="7"/>
  <c r="J85" i="7" s="1"/>
  <c r="I86" i="7"/>
  <c r="J86" i="7" s="1"/>
  <c r="I87" i="7"/>
  <c r="J87" i="7" s="1"/>
  <c r="I88" i="7"/>
  <c r="J88" i="7" s="1"/>
  <c r="I89" i="7"/>
  <c r="J89" i="7" s="1"/>
  <c r="I90" i="7"/>
  <c r="J90" i="7" s="1"/>
  <c r="I91" i="7"/>
  <c r="J91" i="7" s="1"/>
  <c r="I92" i="7"/>
  <c r="J92" i="7" s="1"/>
  <c r="I93" i="7"/>
  <c r="J93" i="7" s="1"/>
  <c r="I94" i="7"/>
  <c r="J94" i="7" s="1"/>
  <c r="I95" i="7"/>
  <c r="J95" i="7" s="1"/>
  <c r="I96" i="7"/>
  <c r="J96" i="7" s="1"/>
  <c r="I97" i="7"/>
  <c r="J97" i="7" s="1"/>
  <c r="I98" i="7"/>
  <c r="J98" i="7" s="1"/>
  <c r="I99" i="7"/>
  <c r="I100" i="7"/>
  <c r="I101" i="7"/>
  <c r="I102" i="7"/>
  <c r="I103" i="7"/>
  <c r="I104" i="7"/>
  <c r="I105" i="7"/>
  <c r="I106" i="7"/>
  <c r="I107" i="7"/>
  <c r="I108" i="7"/>
  <c r="I109" i="7"/>
  <c r="G35" i="7"/>
  <c r="I35" i="7" s="1"/>
  <c r="J64" i="7" l="1"/>
  <c r="J31" i="7"/>
  <c r="J12" i="7"/>
  <c r="J34" i="7"/>
  <c r="J28" i="7"/>
  <c r="J14" i="7"/>
  <c r="J50" i="7"/>
  <c r="L50" i="7" s="1"/>
  <c r="J19" i="7"/>
  <c r="J32" i="7"/>
  <c r="J10" i="7"/>
  <c r="L51" i="7"/>
  <c r="J7" i="7"/>
  <c r="J9" i="7"/>
  <c r="J44" i="7"/>
  <c r="J18" i="7"/>
  <c r="J21" i="7"/>
  <c r="J11" i="7"/>
  <c r="L11" i="7"/>
  <c r="J60" i="7"/>
  <c r="J17" i="7"/>
  <c r="J20" i="7"/>
  <c r="J22" i="7"/>
  <c r="J13" i="7"/>
  <c r="J53" i="7"/>
  <c r="J8" i="7"/>
  <c r="I39" i="7"/>
  <c r="J106" i="7"/>
  <c r="K106" i="7"/>
  <c r="L106" i="7" s="1"/>
  <c r="J102" i="7"/>
  <c r="K102" i="7"/>
  <c r="L102" i="7" s="1"/>
  <c r="J108" i="7"/>
  <c r="K108" i="7"/>
  <c r="L108" i="7" s="1"/>
  <c r="J104" i="7"/>
  <c r="K104" i="7"/>
  <c r="L104" i="7" s="1"/>
  <c r="J100" i="7"/>
  <c r="K100" i="7"/>
  <c r="L100" i="7" s="1"/>
  <c r="J109" i="7"/>
  <c r="K109" i="7"/>
  <c r="L109" i="7" s="1"/>
  <c r="J107" i="7"/>
  <c r="K107" i="7"/>
  <c r="L107" i="7" s="1"/>
  <c r="J105" i="7"/>
  <c r="K105" i="7"/>
  <c r="L105" i="7" s="1"/>
  <c r="J103" i="7"/>
  <c r="K103" i="7"/>
  <c r="L103" i="7" s="1"/>
  <c r="J101" i="7"/>
  <c r="K101" i="7"/>
  <c r="L101" i="7" s="1"/>
  <c r="J99" i="7"/>
  <c r="K99" i="7"/>
  <c r="L99" i="7" s="1"/>
  <c r="K98" i="7"/>
  <c r="L98" i="7" s="1"/>
  <c r="K97" i="7"/>
  <c r="L97" i="7" s="1"/>
  <c r="K96" i="7"/>
  <c r="L96" i="7" s="1"/>
  <c r="K95" i="7"/>
  <c r="L95" i="7" s="1"/>
  <c r="K94" i="7"/>
  <c r="L94" i="7" s="1"/>
  <c r="K93" i="7"/>
  <c r="L93" i="7" s="1"/>
  <c r="K92" i="7"/>
  <c r="L92" i="7" s="1"/>
  <c r="K91" i="7"/>
  <c r="L91" i="7" s="1"/>
  <c r="K90" i="7"/>
  <c r="L90" i="7" s="1"/>
  <c r="K89" i="7"/>
  <c r="L89" i="7" s="1"/>
  <c r="K88" i="7"/>
  <c r="L88" i="7" s="1"/>
  <c r="K87" i="7"/>
  <c r="L87" i="7" s="1"/>
  <c r="K86" i="7"/>
  <c r="L86" i="7" s="1"/>
  <c r="K85" i="7"/>
  <c r="L85" i="7" s="1"/>
  <c r="K84" i="7"/>
  <c r="L84" i="7" s="1"/>
  <c r="K83" i="7"/>
  <c r="L83" i="7" s="1"/>
  <c r="K82" i="7"/>
  <c r="L82" i="7" s="1"/>
  <c r="K81" i="7"/>
  <c r="L81" i="7" s="1"/>
  <c r="K80" i="7"/>
  <c r="L80" i="7" s="1"/>
  <c r="K79" i="7"/>
  <c r="L79" i="7" s="1"/>
  <c r="K78" i="7"/>
  <c r="L78" i="7" s="1"/>
  <c r="K77" i="7"/>
  <c r="L77" i="7" s="1"/>
  <c r="K76" i="7"/>
  <c r="L76" i="7" s="1"/>
  <c r="K75" i="7"/>
  <c r="L75" i="7" s="1"/>
  <c r="K74" i="7"/>
  <c r="L74" i="7" s="1"/>
  <c r="K73" i="7"/>
  <c r="L73" i="7" s="1"/>
  <c r="K72" i="7"/>
  <c r="L72" i="7" s="1"/>
  <c r="K71" i="7"/>
  <c r="L71" i="7" s="1"/>
  <c r="K70" i="7"/>
  <c r="L70" i="7" s="1"/>
  <c r="K69" i="7"/>
  <c r="L69" i="7" s="1"/>
  <c r="K68" i="7"/>
  <c r="L68" i="7" s="1"/>
  <c r="K67" i="7"/>
  <c r="L67" i="7" s="1"/>
  <c r="K51" i="7"/>
  <c r="K65" i="7"/>
  <c r="L65" i="7" s="1"/>
  <c r="K60" i="7"/>
  <c r="L60" i="7" s="1"/>
  <c r="K63" i="7"/>
  <c r="L63" i="7" s="1"/>
  <c r="K64" i="7"/>
  <c r="L64" i="7" s="1"/>
  <c r="K66" i="7"/>
  <c r="L66" i="7" s="1"/>
  <c r="K57" i="7"/>
  <c r="L57" i="7" s="1"/>
  <c r="K58" i="7"/>
  <c r="L58" i="7" s="1"/>
  <c r="K50" i="7"/>
  <c r="K59" i="7"/>
  <c r="L59" i="7" s="1"/>
  <c r="K7" i="7"/>
  <c r="L7" i="7" s="1"/>
  <c r="K18" i="7"/>
  <c r="L18" i="7" s="1"/>
  <c r="K17" i="7"/>
  <c r="L17" i="7" s="1"/>
  <c r="K53" i="7"/>
  <c r="L53" i="7" s="1"/>
  <c r="K54" i="7"/>
  <c r="L54" i="7" s="1"/>
  <c r="K14" i="7"/>
  <c r="L14" i="7" s="1"/>
  <c r="K12" i="7"/>
  <c r="L12" i="7" s="1"/>
  <c r="K19" i="7"/>
  <c r="L19" i="7" s="1"/>
  <c r="K9" i="7"/>
  <c r="L9" i="7" s="1"/>
  <c r="K21" i="7"/>
  <c r="L21" i="7" s="1"/>
  <c r="K20" i="7"/>
  <c r="L20" i="7" s="1"/>
  <c r="K8" i="7"/>
  <c r="L8" i="7" s="1"/>
  <c r="K6" i="7"/>
  <c r="L6" i="7" s="1"/>
  <c r="K13" i="7"/>
  <c r="L13" i="7" s="1"/>
  <c r="K34" i="7"/>
  <c r="L34" i="7" s="1"/>
  <c r="K32" i="7"/>
  <c r="L32" i="7" s="1"/>
  <c r="K46" i="7"/>
  <c r="L46" i="7" s="1"/>
  <c r="K11" i="7"/>
  <c r="K39" i="7"/>
  <c r="K22" i="7"/>
  <c r="L22" i="7" s="1"/>
  <c r="K44" i="7"/>
  <c r="L44" i="7" s="1"/>
  <c r="K10" i="7"/>
  <c r="L10" i="7" s="1"/>
  <c r="K28" i="7"/>
  <c r="L28" i="7" s="1"/>
  <c r="K5" i="7"/>
  <c r="L5" i="7" s="1"/>
  <c r="K31" i="7"/>
  <c r="L31" i="7" s="1"/>
  <c r="K26" i="7"/>
  <c r="L26" i="7" s="1"/>
  <c r="H56" i="7"/>
  <c r="I56" i="7" s="1"/>
  <c r="H38" i="7"/>
  <c r="G38" i="7"/>
  <c r="H24" i="7"/>
  <c r="I24" i="7" s="1"/>
  <c r="H33" i="7"/>
  <c r="I33" i="7" s="1"/>
  <c r="H45" i="7"/>
  <c r="I45" i="7" s="1"/>
  <c r="F45" i="7"/>
  <c r="I36" i="7"/>
  <c r="I41" i="7"/>
  <c r="I29" i="7"/>
  <c r="I23" i="7"/>
  <c r="I25" i="7"/>
  <c r="I61" i="7"/>
  <c r="I30" i="7"/>
  <c r="I16" i="7"/>
  <c r="K24" i="7" l="1"/>
  <c r="L24" i="7" s="1"/>
  <c r="K29" i="7"/>
  <c r="L29" i="7"/>
  <c r="K41" i="7"/>
  <c r="K36" i="7"/>
  <c r="L36" i="7" s="1"/>
  <c r="K25" i="7"/>
  <c r="L25" i="7" s="1"/>
  <c r="K16" i="7"/>
  <c r="L16" i="7" s="1"/>
  <c r="M18" i="7" s="1"/>
  <c r="J16" i="7"/>
  <c r="M22" i="7"/>
  <c r="L30" i="7"/>
  <c r="M5" i="7"/>
  <c r="J39" i="7"/>
  <c r="L39" i="7" s="1"/>
  <c r="K56" i="7"/>
  <c r="L56" i="7"/>
  <c r="K45" i="7"/>
  <c r="J45" i="7"/>
  <c r="L45" i="7"/>
  <c r="K33" i="7"/>
  <c r="L33" i="7"/>
  <c r="M28" i="7"/>
  <c r="M11" i="7"/>
  <c r="K30" i="7"/>
  <c r="K35" i="7"/>
  <c r="L35" i="7" s="1"/>
  <c r="K61" i="7"/>
  <c r="L61" i="7" s="1"/>
  <c r="I38" i="7"/>
  <c r="K23" i="7"/>
  <c r="M21" i="7"/>
  <c r="H43" i="7"/>
  <c r="I43" i="7" s="1"/>
  <c r="H52" i="7"/>
  <c r="I52" i="7" s="1"/>
  <c r="H62" i="7"/>
  <c r="I62" i="7" s="1"/>
  <c r="F62" i="7"/>
  <c r="I42" i="7"/>
  <c r="I49" i="7"/>
  <c r="I48" i="7"/>
  <c r="I47" i="7"/>
  <c r="I55" i="7"/>
  <c r="K55" i="7" l="1"/>
  <c r="L55" i="7"/>
  <c r="K43" i="7"/>
  <c r="L43" i="7"/>
  <c r="K47" i="7"/>
  <c r="L47" i="7"/>
  <c r="M34" i="7"/>
  <c r="M25" i="7"/>
  <c r="L23" i="7"/>
  <c r="L52" i="7"/>
  <c r="K49" i="7"/>
  <c r="L49" i="7"/>
  <c r="K38" i="7"/>
  <c r="J38" i="7"/>
  <c r="L38" i="7" s="1"/>
  <c r="M42" i="7" s="1"/>
  <c r="L62" i="7"/>
  <c r="K48" i="7"/>
  <c r="L48" i="7"/>
  <c r="K42" i="7"/>
  <c r="L42" i="7"/>
  <c r="K62" i="7"/>
  <c r="M49" i="7"/>
  <c r="K52" i="7"/>
  <c r="M57" i="7" s="1"/>
  <c r="M66" i="7" l="1"/>
  <c r="M69" i="7" s="1"/>
  <c r="Z80" i="4"/>
  <c r="AH80" i="4"/>
  <c r="AN80" i="4"/>
  <c r="AR80" i="4"/>
  <c r="AS80" i="4"/>
  <c r="AT80" i="4"/>
  <c r="AU80" i="4"/>
  <c r="AW80" i="4"/>
  <c r="BK80" i="4"/>
  <c r="BM80" i="4"/>
  <c r="BN80" i="4"/>
  <c r="BQ80" i="4"/>
  <c r="C95" i="4" s="1"/>
  <c r="BS80" i="4"/>
  <c r="BU80" i="4"/>
  <c r="CA80" i="4"/>
  <c r="CC80" i="4"/>
  <c r="CD80" i="4"/>
  <c r="CE80" i="4"/>
  <c r="CF80" i="4"/>
  <c r="CJ80" i="4"/>
  <c r="CK80" i="4"/>
  <c r="CL80" i="4"/>
  <c r="CO80" i="4"/>
  <c r="CP80" i="4"/>
  <c r="Y80" i="4"/>
  <c r="AA80" i="4"/>
  <c r="X80" i="4"/>
  <c r="V80" i="4"/>
  <c r="S80" i="4"/>
  <c r="P80" i="4"/>
  <c r="M80" i="4"/>
  <c r="C94" i="4" s="1"/>
  <c r="L80" i="4"/>
  <c r="C89" i="4" s="1"/>
  <c r="C91" i="4" s="1"/>
  <c r="U115" i="6"/>
  <c r="K75" i="4"/>
  <c r="X109" i="6"/>
  <c r="AN118" i="6"/>
  <c r="U118" i="6"/>
  <c r="AJ118" i="6" s="1"/>
  <c r="AB110" i="6"/>
  <c r="C96" i="4" l="1"/>
  <c r="AI107" i="6"/>
  <c r="BF77" i="4" l="1"/>
  <c r="BF78" i="4"/>
  <c r="BF79" i="4"/>
  <c r="BF81" i="4"/>
  <c r="BF82" i="4"/>
  <c r="BF83" i="4"/>
  <c r="AQ76" i="4"/>
  <c r="BB77" i="4"/>
  <c r="BB78" i="4"/>
  <c r="BB79" i="4"/>
  <c r="BL76" i="4"/>
  <c r="AM81" i="4"/>
  <c r="AM82" i="4"/>
  <c r="AL78" i="4"/>
  <c r="AL79" i="4"/>
  <c r="AM79" i="4" s="1"/>
  <c r="K76" i="4"/>
  <c r="AP75" i="4"/>
  <c r="AE75" i="4"/>
  <c r="AJ75" i="4" s="1"/>
  <c r="AK75" i="4" s="1"/>
  <c r="AL75" i="4" s="1"/>
  <c r="Q121" i="6"/>
  <c r="Q122" i="6"/>
  <c r="Q123" i="6"/>
  <c r="AQ74" i="4"/>
  <c r="K117" i="6"/>
  <c r="R117" i="6" s="1"/>
  <c r="S117" i="6" s="1"/>
  <c r="AN117" i="6"/>
  <c r="AB73" i="4"/>
  <c r="AC73" i="4" s="1"/>
  <c r="AB74" i="4"/>
  <c r="AB75" i="4"/>
  <c r="AC75" i="4" s="1"/>
  <c r="AB77" i="4"/>
  <c r="AB78" i="4"/>
  <c r="AC78" i="4" s="1"/>
  <c r="AO72" i="4"/>
  <c r="AD72" i="4"/>
  <c r="AJ72" i="4" s="1"/>
  <c r="BF70" i="4"/>
  <c r="BF71" i="4"/>
  <c r="BF72" i="4"/>
  <c r="BF73" i="4"/>
  <c r="BF74" i="4"/>
  <c r="BF75" i="4"/>
  <c r="K72" i="4"/>
  <c r="AB72" i="4" s="1"/>
  <c r="AJ116" i="6"/>
  <c r="AK116" i="6" s="1"/>
  <c r="AL116" i="6" s="1"/>
  <c r="AJ117" i="6"/>
  <c r="AK117" i="6" s="1"/>
  <c r="AK118" i="6"/>
  <c r="AL118" i="6" s="1"/>
  <c r="AN116" i="6"/>
  <c r="L116" i="6"/>
  <c r="K116" i="6"/>
  <c r="BB69" i="4"/>
  <c r="BB70" i="4"/>
  <c r="BB71" i="4"/>
  <c r="BB73" i="4"/>
  <c r="BB74" i="4"/>
  <c r="K70" i="4"/>
  <c r="N70" i="4"/>
  <c r="O70" i="4"/>
  <c r="BF69" i="4"/>
  <c r="AJ69" i="4"/>
  <c r="AK69" i="4" s="1"/>
  <c r="AL69" i="4" s="1"/>
  <c r="AJ70" i="4"/>
  <c r="AK70" i="4" s="1"/>
  <c r="AL70" i="4" s="1"/>
  <c r="AJ71" i="4"/>
  <c r="AK71" i="4" s="1"/>
  <c r="AL71" i="4" s="1"/>
  <c r="AJ73" i="4"/>
  <c r="AJ74" i="4"/>
  <c r="AJ76" i="4"/>
  <c r="AJ77" i="4"/>
  <c r="BC78" i="4"/>
  <c r="BD78" i="4" s="1"/>
  <c r="AB71" i="4"/>
  <c r="AC71" i="4" s="1"/>
  <c r="N69" i="4"/>
  <c r="AB69" i="4" s="1"/>
  <c r="AC69" i="4" s="1"/>
  <c r="BF68" i="4"/>
  <c r="BB68" i="4"/>
  <c r="AB68" i="4"/>
  <c r="AJ115" i="6"/>
  <c r="AK115" i="6" s="1"/>
  <c r="AL115" i="6" s="1"/>
  <c r="AJ114" i="6"/>
  <c r="AK114" i="6" s="1"/>
  <c r="AL114" i="6" s="1"/>
  <c r="BF67" i="4"/>
  <c r="BB67" i="4"/>
  <c r="AJ67" i="4"/>
  <c r="AK67" i="4" s="1"/>
  <c r="AL67" i="4" s="1"/>
  <c r="AJ68" i="4"/>
  <c r="AB67" i="4"/>
  <c r="AC67" i="4" s="1"/>
  <c r="R108" i="6"/>
  <c r="S108" i="6" s="1"/>
  <c r="R109" i="6"/>
  <c r="S109" i="6" s="1"/>
  <c r="R110" i="6"/>
  <c r="R111" i="6"/>
  <c r="R112" i="6"/>
  <c r="S112" i="6" s="1"/>
  <c r="R113" i="6"/>
  <c r="S113" i="6" s="1"/>
  <c r="R114" i="6"/>
  <c r="S114" i="6" s="1"/>
  <c r="R115" i="6"/>
  <c r="S115" i="6" s="1"/>
  <c r="Q105" i="6"/>
  <c r="Q106" i="6"/>
  <c r="Q108" i="6"/>
  <c r="Q109" i="6"/>
  <c r="Q110" i="6"/>
  <c r="Q111" i="6"/>
  <c r="Q112" i="6"/>
  <c r="Q113" i="6"/>
  <c r="Q114" i="6"/>
  <c r="BB66" i="4"/>
  <c r="AJ66" i="4"/>
  <c r="AK66" i="4" s="1"/>
  <c r="AL66" i="4" s="1"/>
  <c r="AJ65" i="4"/>
  <c r="AK65" i="4" s="1"/>
  <c r="AL65" i="4" s="1"/>
  <c r="AO64" i="4"/>
  <c r="AD64" i="4"/>
  <c r="BB63" i="4"/>
  <c r="BB65" i="4"/>
  <c r="AJ110" i="6"/>
  <c r="AK110" i="6" s="1"/>
  <c r="AJ111" i="6"/>
  <c r="AJ112" i="6"/>
  <c r="AK112" i="6" s="1"/>
  <c r="AL112" i="6" s="1"/>
  <c r="AD62" i="4"/>
  <c r="N62" i="4"/>
  <c r="AB62" i="4" s="1"/>
  <c r="AO61" i="4"/>
  <c r="AD61" i="4"/>
  <c r="AQ61" i="4"/>
  <c r="Q61" i="4"/>
  <c r="Q80" i="4" s="1"/>
  <c r="AB63" i="4"/>
  <c r="AB64" i="4"/>
  <c r="N61" i="4"/>
  <c r="W110" i="6"/>
  <c r="AK103" i="6"/>
  <c r="AK101" i="6"/>
  <c r="AJ109" i="6"/>
  <c r="AK109" i="6" s="1"/>
  <c r="AL109" i="6" s="1"/>
  <c r="AD60" i="4"/>
  <c r="K60" i="4"/>
  <c r="N60" i="4"/>
  <c r="AB70" i="4" l="1"/>
  <c r="AC70" i="4" s="1"/>
  <c r="R116" i="6"/>
  <c r="S116" i="6" s="1"/>
  <c r="AM116" i="6" s="1"/>
  <c r="BC77" i="4"/>
  <c r="AM78" i="4"/>
  <c r="AB76" i="4"/>
  <c r="AC76" i="4" s="1"/>
  <c r="BB75" i="4"/>
  <c r="BC75" i="4" s="1"/>
  <c r="BD75" i="4" s="1"/>
  <c r="AP80" i="4"/>
  <c r="AD80" i="4"/>
  <c r="BC69" i="4"/>
  <c r="BD69" i="4" s="1"/>
  <c r="BB64" i="4"/>
  <c r="BL64" i="4"/>
  <c r="BB72" i="4"/>
  <c r="BL72" i="4"/>
  <c r="BB76" i="4"/>
  <c r="BC76" i="4" s="1"/>
  <c r="AC77" i="4"/>
  <c r="BE77" i="4" s="1"/>
  <c r="AK74" i="4"/>
  <c r="AM118" i="6"/>
  <c r="AK76" i="4"/>
  <c r="AL76" i="4" s="1"/>
  <c r="BC71" i="4"/>
  <c r="BD71" i="4" s="1"/>
  <c r="BC73" i="4"/>
  <c r="BD73" i="4" s="1"/>
  <c r="BC67" i="4"/>
  <c r="BD67" i="4" s="1"/>
  <c r="AM69" i="4"/>
  <c r="AB61" i="4"/>
  <c r="BE78" i="4"/>
  <c r="BC68" i="4"/>
  <c r="BD68" i="4" s="1"/>
  <c r="BD77" i="4"/>
  <c r="AK68" i="4"/>
  <c r="AL68" i="4" s="1"/>
  <c r="AK77" i="4"/>
  <c r="AL77" i="4" s="1"/>
  <c r="BC70" i="4"/>
  <c r="AM75" i="4"/>
  <c r="BC74" i="4"/>
  <c r="AC74" i="4"/>
  <c r="AL110" i="6"/>
  <c r="AK73" i="4"/>
  <c r="AL73" i="4" s="1"/>
  <c r="AM73" i="4" s="1"/>
  <c r="BC72" i="4"/>
  <c r="BD72" i="4" s="1"/>
  <c r="AC72" i="4"/>
  <c r="AM71" i="4"/>
  <c r="AM70" i="4"/>
  <c r="AK72" i="4"/>
  <c r="AL72" i="4" s="1"/>
  <c r="AC68" i="4"/>
  <c r="AM67" i="4"/>
  <c r="AB60" i="4"/>
  <c r="AB65" i="4"/>
  <c r="AC65" i="4" s="1"/>
  <c r="AM65" i="4" s="1"/>
  <c r="AN109" i="6"/>
  <c r="AN110" i="6"/>
  <c r="AN111" i="6"/>
  <c r="AN112" i="6"/>
  <c r="AN113" i="6"/>
  <c r="AN114" i="6"/>
  <c r="AN115" i="6"/>
  <c r="AM114" i="6"/>
  <c r="AO114" i="6" s="1"/>
  <c r="AM112" i="6"/>
  <c r="AM115" i="6"/>
  <c r="AL117" i="6"/>
  <c r="AM117" i="6" s="1"/>
  <c r="U108" i="6"/>
  <c r="AK108" i="6" s="1"/>
  <c r="AN108" i="6"/>
  <c r="AM68" i="4" l="1"/>
  <c r="AM76" i="4"/>
  <c r="BD76" i="4"/>
  <c r="BE76" i="4"/>
  <c r="AM77" i="4"/>
  <c r="BD74" i="4"/>
  <c r="AL74" i="4"/>
  <c r="BD70" i="4"/>
  <c r="BE70" i="4"/>
  <c r="AM72" i="4"/>
  <c r="AG59" i="4"/>
  <c r="U59" i="4"/>
  <c r="AI59" i="4"/>
  <c r="AO59" i="4"/>
  <c r="AX59" i="4"/>
  <c r="AK111" i="6"/>
  <c r="AJ113" i="6"/>
  <c r="AK113" i="6" s="1"/>
  <c r="AM109" i="6"/>
  <c r="AL111" i="6" l="1"/>
  <c r="AM74" i="4"/>
  <c r="AL113" i="6"/>
  <c r="AM113" i="6" s="1"/>
  <c r="AQ113" i="6"/>
  <c r="AC61" i="4"/>
  <c r="AC62" i="4"/>
  <c r="AC63" i="4"/>
  <c r="AC64" i="4"/>
  <c r="AC60" i="4"/>
  <c r="AB66" i="4"/>
  <c r="AC66" i="4" s="1"/>
  <c r="K59" i="4"/>
  <c r="AB59" i="4" s="1"/>
  <c r="AC59" i="4" s="1"/>
  <c r="BB59" i="4"/>
  <c r="BB60" i="4"/>
  <c r="BB61" i="4"/>
  <c r="BB62" i="4"/>
  <c r="BF59" i="4"/>
  <c r="BF60" i="4"/>
  <c r="BF61" i="4"/>
  <c r="BF62" i="4"/>
  <c r="BF63" i="4"/>
  <c r="BF64" i="4"/>
  <c r="BF65" i="4"/>
  <c r="BF66" i="4"/>
  <c r="AX58" i="4"/>
  <c r="BE67" i="4"/>
  <c r="BE68" i="4"/>
  <c r="AX69" i="4"/>
  <c r="BE69" i="4" s="1"/>
  <c r="AX71" i="4"/>
  <c r="BE71" i="4" s="1"/>
  <c r="BJ71" i="4" s="1"/>
  <c r="AX72" i="4"/>
  <c r="BE72" i="4" s="1"/>
  <c r="AX73" i="4"/>
  <c r="BE73" i="4" s="1"/>
  <c r="BE74" i="4"/>
  <c r="BE75" i="4"/>
  <c r="AX57" i="4"/>
  <c r="AO58" i="4"/>
  <c r="BF58" i="4"/>
  <c r="AJ56" i="4"/>
  <c r="AK56" i="4" s="1"/>
  <c r="AL56" i="4" s="1"/>
  <c r="AJ57" i="4"/>
  <c r="AK57" i="4" s="1"/>
  <c r="AL57" i="4" s="1"/>
  <c r="AJ58" i="4"/>
  <c r="AK58" i="4" s="1"/>
  <c r="AL58" i="4" s="1"/>
  <c r="AJ59" i="4"/>
  <c r="AK59" i="4" s="1"/>
  <c r="AL59" i="4" s="1"/>
  <c r="AJ60" i="4"/>
  <c r="AK60" i="4" s="1"/>
  <c r="AL60" i="4" s="1"/>
  <c r="AJ61" i="4"/>
  <c r="AK61" i="4" s="1"/>
  <c r="AL61" i="4" s="1"/>
  <c r="AJ62" i="4"/>
  <c r="AJ63" i="4"/>
  <c r="AK63" i="4" s="1"/>
  <c r="AL63" i="4" s="1"/>
  <c r="AJ64" i="4"/>
  <c r="AK64" i="4" s="1"/>
  <c r="AL64" i="4" s="1"/>
  <c r="N58" i="4"/>
  <c r="AK62" i="4" l="1"/>
  <c r="AM64" i="4"/>
  <c r="AM66" i="4"/>
  <c r="AM63" i="4"/>
  <c r="AM61" i="4"/>
  <c r="AM59" i="4"/>
  <c r="AM60" i="4"/>
  <c r="AE107" i="6"/>
  <c r="W107" i="6"/>
  <c r="AJ106" i="6"/>
  <c r="AJ107" i="6"/>
  <c r="AJ105" i="6"/>
  <c r="R105" i="6"/>
  <c r="S105" i="6" s="1"/>
  <c r="R106" i="6"/>
  <c r="S106" i="6" s="1"/>
  <c r="R107" i="6"/>
  <c r="S107" i="6" s="1"/>
  <c r="S110" i="6"/>
  <c r="AM110" i="6" s="1"/>
  <c r="S111" i="6"/>
  <c r="BA57" i="4"/>
  <c r="BB56" i="4"/>
  <c r="BC56" i="4" s="1"/>
  <c r="BB57" i="4"/>
  <c r="BC57" i="4" s="1"/>
  <c r="BB58" i="4"/>
  <c r="BC58" i="4" s="1"/>
  <c r="BC59" i="4"/>
  <c r="BE59" i="4" s="1"/>
  <c r="BC60" i="4"/>
  <c r="BC61" i="4"/>
  <c r="BC62" i="4"/>
  <c r="BE62" i="4" s="1"/>
  <c r="BC63" i="4"/>
  <c r="BC64" i="4"/>
  <c r="BC65" i="4"/>
  <c r="BC66" i="4"/>
  <c r="BD66" i="4" s="1"/>
  <c r="BF57" i="4"/>
  <c r="AN106" i="6"/>
  <c r="AN107" i="6"/>
  <c r="AL108" i="6"/>
  <c r="AM108" i="6" s="1"/>
  <c r="AK105" i="6"/>
  <c r="AL105" i="6" s="1"/>
  <c r="AK106" i="6"/>
  <c r="AL106" i="6" s="1"/>
  <c r="AK107" i="6"/>
  <c r="AN105" i="6"/>
  <c r="AJ103" i="6"/>
  <c r="AJ104" i="6"/>
  <c r="AN104" i="6"/>
  <c r="BL55" i="4"/>
  <c r="BL56" i="4"/>
  <c r="BL57" i="4"/>
  <c r="BL58" i="4"/>
  <c r="BL59" i="4"/>
  <c r="BL60" i="4"/>
  <c r="BL61" i="4"/>
  <c r="AK104" i="6"/>
  <c r="AL104" i="6" s="1"/>
  <c r="AN103" i="6"/>
  <c r="R99" i="6"/>
  <c r="S99" i="6" s="1"/>
  <c r="R100" i="6"/>
  <c r="S100" i="6" s="1"/>
  <c r="R101" i="6"/>
  <c r="S101" i="6" s="1"/>
  <c r="R102" i="6"/>
  <c r="S102" i="6" s="1"/>
  <c r="R103" i="6"/>
  <c r="S103" i="6" s="1"/>
  <c r="R104" i="6"/>
  <c r="S104" i="6" s="1"/>
  <c r="AJ101" i="6"/>
  <c r="AJ102" i="6"/>
  <c r="U100" i="6"/>
  <c r="AJ100" i="6" s="1"/>
  <c r="AJ99" i="6"/>
  <c r="AJ98" i="6"/>
  <c r="Q92" i="6"/>
  <c r="Q93" i="6"/>
  <c r="Q94" i="6"/>
  <c r="Q95" i="6"/>
  <c r="Q96" i="6"/>
  <c r="Q97" i="6"/>
  <c r="Q99" i="6"/>
  <c r="Q100" i="6"/>
  <c r="Q101" i="6"/>
  <c r="Q102" i="6"/>
  <c r="Q103" i="6"/>
  <c r="Q104" i="6"/>
  <c r="AF94" i="6"/>
  <c r="AF95" i="6"/>
  <c r="AF96" i="6"/>
  <c r="AF97" i="6"/>
  <c r="AF98" i="6"/>
  <c r="AF101" i="6"/>
  <c r="AN98" i="6"/>
  <c r="AN99" i="6"/>
  <c r="AN100" i="6"/>
  <c r="AN101" i="6"/>
  <c r="AN102" i="6"/>
  <c r="AK98" i="6"/>
  <c r="AK99" i="6"/>
  <c r="AL99" i="6" s="1"/>
  <c r="AK102" i="6"/>
  <c r="AL103" i="6"/>
  <c r="AN97" i="6"/>
  <c r="AJ97" i="6"/>
  <c r="AJ96" i="6"/>
  <c r="R93" i="6"/>
  <c r="S93" i="6" s="1"/>
  <c r="R94" i="6"/>
  <c r="S94" i="6" s="1"/>
  <c r="R95" i="6"/>
  <c r="S95" i="6" s="1"/>
  <c r="R96" i="6"/>
  <c r="S96" i="6" s="1"/>
  <c r="R97" i="6"/>
  <c r="S97" i="6" s="1"/>
  <c r="R98" i="6"/>
  <c r="S98" i="6" s="1"/>
  <c r="AJ94" i="6"/>
  <c r="AF92" i="6"/>
  <c r="AF93" i="6"/>
  <c r="U93" i="6"/>
  <c r="AJ93" i="6" s="1"/>
  <c r="R90" i="6"/>
  <c r="S90" i="6" s="1"/>
  <c r="R91" i="6"/>
  <c r="S91" i="6" s="1"/>
  <c r="R92" i="6"/>
  <c r="S92" i="6" s="1"/>
  <c r="AF91" i="6"/>
  <c r="AK91" i="6"/>
  <c r="AK92" i="6"/>
  <c r="AK94" i="6"/>
  <c r="AK95" i="6"/>
  <c r="AK96" i="6"/>
  <c r="AK97" i="6"/>
  <c r="AN91" i="6"/>
  <c r="AN92" i="6"/>
  <c r="AN93" i="6"/>
  <c r="AN94" i="6"/>
  <c r="AN95" i="6"/>
  <c r="AN96" i="6"/>
  <c r="AN90" i="6"/>
  <c r="U89" i="6"/>
  <c r="AJ89" i="6" s="1"/>
  <c r="AJ90" i="6"/>
  <c r="AJ91" i="6"/>
  <c r="AJ92" i="6"/>
  <c r="AJ95" i="6"/>
  <c r="AN89" i="6"/>
  <c r="W89" i="6"/>
  <c r="U88" i="6"/>
  <c r="AJ88" i="6" s="1"/>
  <c r="AN88" i="6"/>
  <c r="W88" i="6"/>
  <c r="W87" i="6"/>
  <c r="AJ87" i="6"/>
  <c r="AN87" i="6"/>
  <c r="U86" i="6"/>
  <c r="AK86" i="6" s="1"/>
  <c r="W86" i="6"/>
  <c r="AN86" i="6"/>
  <c r="Q86" i="6"/>
  <c r="Q87" i="6"/>
  <c r="Q88" i="6"/>
  <c r="Q89" i="6"/>
  <c r="Q90" i="6"/>
  <c r="Q91" i="6"/>
  <c r="R86" i="6"/>
  <c r="S86" i="6" s="1"/>
  <c r="R87" i="6"/>
  <c r="S87" i="6" s="1"/>
  <c r="R88" i="6"/>
  <c r="S88" i="6" s="1"/>
  <c r="R89" i="6"/>
  <c r="S89" i="6" s="1"/>
  <c r="AF83" i="6"/>
  <c r="AF84" i="6"/>
  <c r="AF85" i="6"/>
  <c r="AF86" i="6"/>
  <c r="AF87" i="6"/>
  <c r="AF89" i="6"/>
  <c r="AF90" i="6"/>
  <c r="AK87" i="6"/>
  <c r="AK90" i="6"/>
  <c r="AN85" i="6"/>
  <c r="AJ85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AJ84" i="6"/>
  <c r="W84" i="6"/>
  <c r="R84" i="6"/>
  <c r="S84" i="6" s="1"/>
  <c r="R85" i="6"/>
  <c r="S85" i="6" s="1"/>
  <c r="AJ83" i="6"/>
  <c r="AK83" i="6"/>
  <c r="AK84" i="6"/>
  <c r="AK85" i="6"/>
  <c r="W82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R81" i="6"/>
  <c r="S81" i="6" s="1"/>
  <c r="R82" i="6"/>
  <c r="S82" i="6" s="1"/>
  <c r="R83" i="6"/>
  <c r="S83" i="6" s="1"/>
  <c r="AI81" i="6"/>
  <c r="AN80" i="6"/>
  <c r="AN81" i="6"/>
  <c r="AN82" i="6"/>
  <c r="AN83" i="6"/>
  <c r="AN84" i="6"/>
  <c r="AJ79" i="6"/>
  <c r="AJ80" i="6"/>
  <c r="AJ81" i="6"/>
  <c r="AJ82" i="6"/>
  <c r="AK79" i="6"/>
  <c r="AK80" i="6"/>
  <c r="AK81" i="6"/>
  <c r="AK82" i="6"/>
  <c r="R77" i="6"/>
  <c r="S77" i="6" s="1"/>
  <c r="R78" i="6"/>
  <c r="S78" i="6" s="1"/>
  <c r="R79" i="6"/>
  <c r="S79" i="6" s="1"/>
  <c r="R80" i="6"/>
  <c r="S80" i="6" s="1"/>
  <c r="U78" i="6"/>
  <c r="AJ78" i="6" s="1"/>
  <c r="W77" i="6"/>
  <c r="AN75" i="6"/>
  <c r="AN76" i="6"/>
  <c r="AN77" i="6"/>
  <c r="AN78" i="6"/>
  <c r="AN79" i="6"/>
  <c r="U76" i="6"/>
  <c r="AK76" i="6" s="1"/>
  <c r="R75" i="6"/>
  <c r="S75" i="6" s="1"/>
  <c r="R76" i="6"/>
  <c r="S76" i="6" s="1"/>
  <c r="AN74" i="6"/>
  <c r="AK73" i="6"/>
  <c r="AK74" i="6"/>
  <c r="AK75" i="6"/>
  <c r="AK77" i="6"/>
  <c r="AN73" i="6"/>
  <c r="AN72" i="6"/>
  <c r="W72" i="6"/>
  <c r="AN71" i="6"/>
  <c r="AN70" i="6"/>
  <c r="W70" i="6"/>
  <c r="AJ69" i="6"/>
  <c r="AJ70" i="6"/>
  <c r="AJ71" i="6"/>
  <c r="AJ72" i="6"/>
  <c r="AJ73" i="6"/>
  <c r="AJ74" i="6"/>
  <c r="AJ75" i="6"/>
  <c r="AJ77" i="6"/>
  <c r="AN69" i="6"/>
  <c r="W69" i="6"/>
  <c r="R69" i="6"/>
  <c r="R70" i="6"/>
  <c r="R71" i="6"/>
  <c r="R72" i="6"/>
  <c r="R73" i="6"/>
  <c r="R74" i="6"/>
  <c r="S74" i="6" s="1"/>
  <c r="AJ68" i="6"/>
  <c r="AL83" i="6" l="1"/>
  <c r="AL91" i="6"/>
  <c r="AM91" i="6" s="1"/>
  <c r="AL76" i="6"/>
  <c r="AM76" i="6" s="1"/>
  <c r="BI62" i="4"/>
  <c r="AL62" i="4"/>
  <c r="AM111" i="6"/>
  <c r="BD65" i="4"/>
  <c r="BE65" i="4"/>
  <c r="AL85" i="6"/>
  <c r="AM85" i="6" s="1"/>
  <c r="AK89" i="6"/>
  <c r="AL95" i="6"/>
  <c r="AM95" i="6" s="1"/>
  <c r="AL107" i="6"/>
  <c r="AM107" i="6" s="1"/>
  <c r="AK100" i="6"/>
  <c r="AL100" i="6" s="1"/>
  <c r="AM100" i="6" s="1"/>
  <c r="BE66" i="4"/>
  <c r="BE64" i="4"/>
  <c r="BD64" i="4"/>
  <c r="BE63" i="4"/>
  <c r="BD63" i="4"/>
  <c r="BD62" i="4"/>
  <c r="BE61" i="4"/>
  <c r="BD61" i="4"/>
  <c r="AL75" i="6"/>
  <c r="AM75" i="6" s="1"/>
  <c r="AJ86" i="6"/>
  <c r="AL79" i="6"/>
  <c r="AM79" i="6" s="1"/>
  <c r="AR79" i="6" s="1"/>
  <c r="AL92" i="6"/>
  <c r="AM92" i="6" s="1"/>
  <c r="BD59" i="4"/>
  <c r="BD60" i="4"/>
  <c r="BE60" i="4"/>
  <c r="AK78" i="6"/>
  <c r="AL78" i="6" s="1"/>
  <c r="AM78" i="6" s="1"/>
  <c r="AL74" i="6"/>
  <c r="AM74" i="6" s="1"/>
  <c r="AL87" i="6"/>
  <c r="AM87" i="6" s="1"/>
  <c r="AM105" i="6"/>
  <c r="AJ76" i="6"/>
  <c r="AL96" i="6"/>
  <c r="AM96" i="6" s="1"/>
  <c r="AM106" i="6"/>
  <c r="AM104" i="6"/>
  <c r="AR104" i="6" s="1"/>
  <c r="AM103" i="6"/>
  <c r="AL102" i="6"/>
  <c r="AM102" i="6" s="1"/>
  <c r="AL101" i="6"/>
  <c r="AM101" i="6" s="1"/>
  <c r="AM99" i="6"/>
  <c r="AL98" i="6"/>
  <c r="AM98" i="6" s="1"/>
  <c r="AL97" i="6"/>
  <c r="AM97" i="6" s="1"/>
  <c r="AL80" i="6"/>
  <c r="AM80" i="6" s="1"/>
  <c r="AR80" i="6" s="1"/>
  <c r="AK93" i="6"/>
  <c r="AL93" i="6" s="1"/>
  <c r="AM93" i="6" s="1"/>
  <c r="AL82" i="6"/>
  <c r="AM82" i="6" s="1"/>
  <c r="AL84" i="6"/>
  <c r="AM84" i="6" s="1"/>
  <c r="AL94" i="6"/>
  <c r="AM94" i="6" s="1"/>
  <c r="AL90" i="6"/>
  <c r="AM90" i="6" s="1"/>
  <c r="AL89" i="6"/>
  <c r="AM89" i="6" s="1"/>
  <c r="AK88" i="6"/>
  <c r="AL88" i="6" s="1"/>
  <c r="AM88" i="6" s="1"/>
  <c r="AL86" i="6"/>
  <c r="AM86" i="6" s="1"/>
  <c r="AL77" i="6"/>
  <c r="AM77" i="6" s="1"/>
  <c r="AL73" i="6"/>
  <c r="AM83" i="6"/>
  <c r="AR83" i="6" s="1"/>
  <c r="AK64" i="6"/>
  <c r="AL64" i="6" s="1"/>
  <c r="AK65" i="6"/>
  <c r="AL65" i="6" s="1"/>
  <c r="AK66" i="6"/>
  <c r="AL66" i="6" s="1"/>
  <c r="AK67" i="6"/>
  <c r="AL67" i="6" s="1"/>
  <c r="AK68" i="6"/>
  <c r="W68" i="6" s="1"/>
  <c r="AK69" i="6"/>
  <c r="AL69" i="6" s="1"/>
  <c r="AK70" i="6"/>
  <c r="AL70" i="6" s="1"/>
  <c r="AK71" i="6"/>
  <c r="AL71" i="6" s="1"/>
  <c r="AK72" i="6"/>
  <c r="AL72" i="6" s="1"/>
  <c r="S69" i="6"/>
  <c r="S70" i="6"/>
  <c r="S71" i="6"/>
  <c r="S72" i="6"/>
  <c r="S73" i="6"/>
  <c r="R63" i="6"/>
  <c r="S63" i="6" s="1"/>
  <c r="R64" i="6"/>
  <c r="S64" i="6" s="1"/>
  <c r="R65" i="6"/>
  <c r="S65" i="6" s="1"/>
  <c r="R66" i="6"/>
  <c r="S66" i="6" s="1"/>
  <c r="R67" i="6"/>
  <c r="S67" i="6" s="1"/>
  <c r="R68" i="6"/>
  <c r="S68" i="6" s="1"/>
  <c r="AJ63" i="6"/>
  <c r="AJ64" i="6"/>
  <c r="AJ65" i="6"/>
  <c r="AJ66" i="6"/>
  <c r="AJ67" i="6"/>
  <c r="U62" i="6"/>
  <c r="AJ62" i="6" s="1"/>
  <c r="W61" i="6"/>
  <c r="W60" i="6"/>
  <c r="AN59" i="6"/>
  <c r="AN60" i="6"/>
  <c r="AN61" i="6"/>
  <c r="AN62" i="6"/>
  <c r="AN63" i="6"/>
  <c r="AN64" i="6"/>
  <c r="AN65" i="6"/>
  <c r="AN66" i="6"/>
  <c r="AN67" i="6"/>
  <c r="AN68" i="6"/>
  <c r="R57" i="6"/>
  <c r="S57" i="6" s="1"/>
  <c r="R58" i="6"/>
  <c r="S58" i="6" s="1"/>
  <c r="R59" i="6"/>
  <c r="S59" i="6" s="1"/>
  <c r="R60" i="6"/>
  <c r="S60" i="6" s="1"/>
  <c r="R61" i="6"/>
  <c r="S61" i="6" s="1"/>
  <c r="R62" i="6"/>
  <c r="S62" i="6" s="1"/>
  <c r="AN58" i="6"/>
  <c r="AJ55" i="6"/>
  <c r="AJ56" i="6"/>
  <c r="AJ57" i="6"/>
  <c r="AJ58" i="6"/>
  <c r="AJ59" i="6"/>
  <c r="AJ60" i="6"/>
  <c r="AJ61" i="6"/>
  <c r="AK53" i="6"/>
  <c r="AL53" i="6" s="1"/>
  <c r="AK55" i="6"/>
  <c r="AL55" i="6" s="1"/>
  <c r="AK56" i="6"/>
  <c r="AL56" i="6" s="1"/>
  <c r="AK57" i="6"/>
  <c r="AL57" i="6" s="1"/>
  <c r="AK58" i="6"/>
  <c r="AL58" i="6" s="1"/>
  <c r="AK59" i="6"/>
  <c r="AL59" i="6" s="1"/>
  <c r="AK60" i="6"/>
  <c r="AK61" i="6"/>
  <c r="AK63" i="6"/>
  <c r="AL63" i="6" s="1"/>
  <c r="U54" i="6"/>
  <c r="AK54" i="6" s="1"/>
  <c r="AL54" i="6" s="1"/>
  <c r="R52" i="6"/>
  <c r="S52" i="6" s="1"/>
  <c r="R53" i="6"/>
  <c r="S53" i="6" s="1"/>
  <c r="R54" i="6"/>
  <c r="S54" i="6" s="1"/>
  <c r="R55" i="6"/>
  <c r="S55" i="6" s="1"/>
  <c r="R56" i="6"/>
  <c r="S56" i="6" s="1"/>
  <c r="AN46" i="6"/>
  <c r="AN47" i="6"/>
  <c r="AN48" i="6"/>
  <c r="AN49" i="6"/>
  <c r="AN50" i="6"/>
  <c r="AN51" i="6"/>
  <c r="AN52" i="6"/>
  <c r="AN53" i="6"/>
  <c r="AN54" i="6"/>
  <c r="AN55" i="6"/>
  <c r="AN56" i="6"/>
  <c r="AN57" i="6"/>
  <c r="U50" i="6"/>
  <c r="AJ50" i="6" s="1"/>
  <c r="AJ51" i="6"/>
  <c r="AJ52" i="6"/>
  <c r="AJ53" i="6"/>
  <c r="W50" i="6"/>
  <c r="Q47" i="6"/>
  <c r="Q48" i="6"/>
  <c r="Q49" i="6"/>
  <c r="Q50" i="6"/>
  <c r="Q51" i="6"/>
  <c r="Q52" i="6"/>
  <c r="Q53" i="6"/>
  <c r="Q54" i="6"/>
  <c r="Q55" i="6"/>
  <c r="Q56" i="6"/>
  <c r="Q57" i="6"/>
  <c r="U49" i="6"/>
  <c r="AJ49" i="6" s="1"/>
  <c r="W47" i="6"/>
  <c r="AM62" i="4" l="1"/>
  <c r="AL60" i="6"/>
  <c r="AM60" i="6" s="1"/>
  <c r="AJ54" i="6"/>
  <c r="AL68" i="6"/>
  <c r="AM68" i="6" s="1"/>
  <c r="AL61" i="6"/>
  <c r="AM61" i="6" s="1"/>
  <c r="AM64" i="6"/>
  <c r="AM73" i="6"/>
  <c r="AR73" i="6" s="1"/>
  <c r="AK62" i="6"/>
  <c r="AL62" i="6" s="1"/>
  <c r="AM62" i="6" s="1"/>
  <c r="AM72" i="6"/>
  <c r="AM71" i="6"/>
  <c r="AR71" i="6" s="1"/>
  <c r="AM70" i="6"/>
  <c r="AM69" i="6"/>
  <c r="AM67" i="6"/>
  <c r="AM66" i="6"/>
  <c r="AM65" i="6"/>
  <c r="AM63" i="6"/>
  <c r="AM59" i="6"/>
  <c r="AM58" i="6"/>
  <c r="AM57" i="6"/>
  <c r="AM56" i="6"/>
  <c r="AM54" i="6"/>
  <c r="AM55" i="6"/>
  <c r="W46" i="6" l="1"/>
  <c r="U46" i="6"/>
  <c r="AJ46" i="6" s="1"/>
  <c r="U45" i="6"/>
  <c r="AJ45" i="6" s="1"/>
  <c r="W45" i="6"/>
  <c r="AJ42" i="6"/>
  <c r="AJ43" i="6"/>
  <c r="AJ44" i="6"/>
  <c r="AJ47" i="6"/>
  <c r="AJ48" i="6"/>
  <c r="AK43" i="6"/>
  <c r="AL43" i="6" s="1"/>
  <c r="AK44" i="6"/>
  <c r="AL44" i="6" s="1"/>
  <c r="AK47" i="6"/>
  <c r="AL47" i="6" s="1"/>
  <c r="AK48" i="6"/>
  <c r="AK49" i="6"/>
  <c r="AK50" i="6"/>
  <c r="AK51" i="6"/>
  <c r="AL51" i="6" s="1"/>
  <c r="AK52" i="6"/>
  <c r="AL52" i="6" s="1"/>
  <c r="R42" i="6"/>
  <c r="R43" i="6"/>
  <c r="R44" i="6"/>
  <c r="R45" i="6"/>
  <c r="R47" i="6"/>
  <c r="S47" i="6" s="1"/>
  <c r="R48" i="6"/>
  <c r="S48" i="6" s="1"/>
  <c r="R49" i="6"/>
  <c r="S49" i="6" s="1"/>
  <c r="R50" i="6"/>
  <c r="S50" i="6" s="1"/>
  <c r="R51" i="6"/>
  <c r="S51" i="6" s="1"/>
  <c r="AM53" i="6"/>
  <c r="Q42" i="6"/>
  <c r="Q43" i="6"/>
  <c r="Q44" i="6"/>
  <c r="Q45" i="6"/>
  <c r="Q46" i="6"/>
  <c r="AK45" i="6" l="1"/>
  <c r="AK46" i="6"/>
  <c r="AL46" i="6" s="1"/>
  <c r="AL45" i="6"/>
  <c r="AM52" i="6"/>
  <c r="AM51" i="6"/>
  <c r="AL50" i="6"/>
  <c r="AM50" i="6" s="1"/>
  <c r="AL49" i="6"/>
  <c r="AM49" i="6" s="1"/>
  <c r="AL48" i="6"/>
  <c r="AM48" i="6" s="1"/>
  <c r="U41" i="6"/>
  <c r="AJ41" i="6" s="1"/>
  <c r="W41" i="6"/>
  <c r="K41" i="6"/>
  <c r="S43" i="6"/>
  <c r="S44" i="6"/>
  <c r="S45" i="6"/>
  <c r="AM46" i="6"/>
  <c r="AM47" i="6"/>
  <c r="AJ40" i="6"/>
  <c r="AJ39" i="6"/>
  <c r="AJ38" i="6"/>
  <c r="AJ37" i="6"/>
  <c r="W36" i="6"/>
  <c r="AJ36" i="6"/>
  <c r="AJ35" i="6"/>
  <c r="AI34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W34" i="6"/>
  <c r="W33" i="6"/>
  <c r="W32" i="6"/>
  <c r="R31" i="6"/>
  <c r="S31" i="6" s="1"/>
  <c r="R32" i="6"/>
  <c r="S32" i="6" s="1"/>
  <c r="R33" i="6"/>
  <c r="S33" i="6" s="1"/>
  <c r="R34" i="6"/>
  <c r="S34" i="6" s="1"/>
  <c r="R35" i="6"/>
  <c r="S35" i="6" s="1"/>
  <c r="R36" i="6"/>
  <c r="S36" i="6" s="1"/>
  <c r="R37" i="6"/>
  <c r="S37" i="6" s="1"/>
  <c r="R38" i="6"/>
  <c r="S38" i="6" s="1"/>
  <c r="R39" i="6"/>
  <c r="S39" i="6" s="1"/>
  <c r="R40" i="6"/>
  <c r="S40" i="6" s="1"/>
  <c r="AK31" i="6"/>
  <c r="W31" i="6"/>
  <c r="S42" i="6"/>
  <c r="U30" i="6"/>
  <c r="AK30" i="6" s="1"/>
  <c r="W30" i="6"/>
  <c r="AA30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AK28" i="6"/>
  <c r="AL28" i="6" s="1"/>
  <c r="AK29" i="6"/>
  <c r="AL29" i="6" s="1"/>
  <c r="AK32" i="6"/>
  <c r="AK33" i="6"/>
  <c r="AK34" i="6"/>
  <c r="AK35" i="6"/>
  <c r="AK36" i="6"/>
  <c r="AL36" i="6" s="1"/>
  <c r="AK37" i="6"/>
  <c r="AL37" i="6" s="1"/>
  <c r="AK38" i="6"/>
  <c r="AL38" i="6" s="1"/>
  <c r="AK39" i="6"/>
  <c r="AL39" i="6" s="1"/>
  <c r="AK40" i="6"/>
  <c r="AK42" i="6"/>
  <c r="AL42" i="6" s="1"/>
  <c r="AJ27" i="6"/>
  <c r="AT27" i="6" s="1"/>
  <c r="AJ28" i="6"/>
  <c r="AJ29" i="6"/>
  <c r="AJ30" i="6"/>
  <c r="AJ31" i="6"/>
  <c r="AJ32" i="6"/>
  <c r="AJ33" i="6"/>
  <c r="AJ34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J26" i="6"/>
  <c r="AT26" i="6" s="1"/>
  <c r="W23" i="6"/>
  <c r="R13" i="6"/>
  <c r="S13" i="6" s="1"/>
  <c r="R14" i="6"/>
  <c r="S14" i="6" s="1"/>
  <c r="R15" i="6"/>
  <c r="S15" i="6" s="1"/>
  <c r="R16" i="6"/>
  <c r="S16" i="6" s="1"/>
  <c r="R17" i="6"/>
  <c r="S17" i="6" s="1"/>
  <c r="R18" i="6"/>
  <c r="S18" i="6" s="1"/>
  <c r="R19" i="6"/>
  <c r="S19" i="6" s="1"/>
  <c r="R20" i="6"/>
  <c r="S20" i="6" s="1"/>
  <c r="R21" i="6"/>
  <c r="S21" i="6" s="1"/>
  <c r="R22" i="6"/>
  <c r="S22" i="6" s="1"/>
  <c r="R23" i="6"/>
  <c r="S23" i="6" s="1"/>
  <c r="R24" i="6"/>
  <c r="S24" i="6" s="1"/>
  <c r="R25" i="6"/>
  <c r="S25" i="6" s="1"/>
  <c r="R26" i="6"/>
  <c r="S26" i="6" s="1"/>
  <c r="R27" i="6"/>
  <c r="S27" i="6" s="1"/>
  <c r="R28" i="6"/>
  <c r="S28" i="6" s="1"/>
  <c r="Q13" i="6"/>
  <c r="Q14" i="6"/>
  <c r="Q15" i="6"/>
  <c r="Q16" i="6"/>
  <c r="Q17" i="6"/>
  <c r="Q18" i="6"/>
  <c r="Q19" i="6"/>
  <c r="Q20" i="6"/>
  <c r="Q21" i="6"/>
  <c r="Q22" i="6"/>
  <c r="AT13" i="6"/>
  <c r="AK21" i="6"/>
  <c r="AK22" i="6"/>
  <c r="AK23" i="6"/>
  <c r="AK24" i="6"/>
  <c r="AK25" i="6"/>
  <c r="AK26" i="6"/>
  <c r="AK27" i="6"/>
  <c r="U20" i="6"/>
  <c r="AK20" i="6" s="1"/>
  <c r="R29" i="6"/>
  <c r="S29" i="6" s="1"/>
  <c r="R30" i="6"/>
  <c r="S30" i="6" s="1"/>
  <c r="AL20" i="6" l="1"/>
  <c r="AL24" i="6"/>
  <c r="AM24" i="6" s="1"/>
  <c r="Q41" i="6"/>
  <c r="AL25" i="6"/>
  <c r="AM25" i="6" s="1"/>
  <c r="AL21" i="6"/>
  <c r="AM21" i="6" s="1"/>
  <c r="AL33" i="6"/>
  <c r="AM33" i="6" s="1"/>
  <c r="AL30" i="6"/>
  <c r="AM30" i="6" s="1"/>
  <c r="AL22" i="6"/>
  <c r="AM22" i="6" s="1"/>
  <c r="AM28" i="6"/>
  <c r="AM42" i="6"/>
  <c r="R41" i="6"/>
  <c r="S41" i="6" s="1"/>
  <c r="AL26" i="6"/>
  <c r="AM26" i="6" s="1"/>
  <c r="AL32" i="6"/>
  <c r="AM32" i="6" s="1"/>
  <c r="AL31" i="6"/>
  <c r="AM31" i="6" s="1"/>
  <c r="AM45" i="6"/>
  <c r="AM44" i="6"/>
  <c r="AM43" i="6"/>
  <c r="AK41" i="6"/>
  <c r="AL41" i="6" s="1"/>
  <c r="AL40" i="6"/>
  <c r="AM40" i="6" s="1"/>
  <c r="AM38" i="6"/>
  <c r="AM37" i="6"/>
  <c r="AM36" i="6"/>
  <c r="AL35" i="6"/>
  <c r="AM35" i="6" s="1"/>
  <c r="AL27" i="6"/>
  <c r="AM27" i="6" s="1"/>
  <c r="AL23" i="6"/>
  <c r="AM39" i="6"/>
  <c r="AM29" i="6"/>
  <c r="AK19" i="6"/>
  <c r="AF19" i="6"/>
  <c r="AJ18" i="6"/>
  <c r="AT18" i="6" s="1"/>
  <c r="AJ19" i="6"/>
  <c r="AT19" i="6" s="1"/>
  <c r="AJ20" i="6"/>
  <c r="AT20" i="6" s="1"/>
  <c r="AJ21" i="6"/>
  <c r="AT21" i="6" s="1"/>
  <c r="AJ22" i="6"/>
  <c r="AT22" i="6" s="1"/>
  <c r="AJ23" i="6"/>
  <c r="AT23" i="6" s="1"/>
  <c r="AJ24" i="6"/>
  <c r="AT24" i="6" s="1"/>
  <c r="AJ25" i="6"/>
  <c r="AT25" i="6" s="1"/>
  <c r="AM41" i="6" l="1"/>
  <c r="AM23" i="6"/>
  <c r="AF8" i="6"/>
  <c r="AF9" i="6"/>
  <c r="AF10" i="6"/>
  <c r="AF11" i="6"/>
  <c r="AF12" i="6"/>
  <c r="AF13" i="6"/>
  <c r="AL13" i="6" s="1"/>
  <c r="AF14" i="6"/>
  <c r="AF15" i="6"/>
  <c r="AF16" i="6"/>
  <c r="AF17" i="6"/>
  <c r="AF18" i="6"/>
  <c r="U17" i="6"/>
  <c r="AJ17" i="6" s="1"/>
  <c r="AT17" i="6" s="1"/>
  <c r="W17" i="6"/>
  <c r="AL16" i="6"/>
  <c r="AM16" i="6" s="1"/>
  <c r="AM20" i="6"/>
  <c r="AL19" i="6"/>
  <c r="AM19" i="6" s="1"/>
  <c r="U12" i="6"/>
  <c r="AK12" i="6" s="1"/>
  <c r="R12" i="6"/>
  <c r="S12" i="6" s="1"/>
  <c r="R10" i="6"/>
  <c r="S10" i="6" s="1"/>
  <c r="R11" i="6"/>
  <c r="S11" i="6" s="1"/>
  <c r="AJ10" i="6"/>
  <c r="AT10" i="6" s="1"/>
  <c r="AJ11" i="6"/>
  <c r="AT11" i="6" s="1"/>
  <c r="AK11" i="6"/>
  <c r="AK13" i="6"/>
  <c r="AK14" i="6"/>
  <c r="AL14" i="6" s="1"/>
  <c r="AK15" i="6"/>
  <c r="AL15" i="6" s="1"/>
  <c r="AK16" i="6"/>
  <c r="AK18" i="6"/>
  <c r="AL18" i="6" s="1"/>
  <c r="AM18" i="6" s="1"/>
  <c r="AJ14" i="6"/>
  <c r="AT14" i="6" s="1"/>
  <c r="AJ15" i="6"/>
  <c r="AT15" i="6" s="1"/>
  <c r="AJ16" i="6"/>
  <c r="AT16" i="6" s="1"/>
  <c r="U7" i="6"/>
  <c r="AF7" i="6"/>
  <c r="AK4" i="6"/>
  <c r="AK6" i="6"/>
  <c r="AK8" i="6"/>
  <c r="AK9" i="6"/>
  <c r="AK10" i="6"/>
  <c r="AK3" i="6"/>
  <c r="R3" i="6"/>
  <c r="S3" i="6" s="1"/>
  <c r="R4" i="6"/>
  <c r="S4" i="6" s="1"/>
  <c r="R6" i="6"/>
  <c r="S6" i="6" s="1"/>
  <c r="R7" i="6"/>
  <c r="S7" i="6" s="1"/>
  <c r="R8" i="6"/>
  <c r="S8" i="6" s="1"/>
  <c r="R9" i="6"/>
  <c r="S9" i="6" s="1"/>
  <c r="R2" i="6"/>
  <c r="Q4" i="6"/>
  <c r="Q5" i="6"/>
  <c r="Q6" i="6"/>
  <c r="Q7" i="6"/>
  <c r="Q8" i="6"/>
  <c r="Q9" i="6"/>
  <c r="Q10" i="6"/>
  <c r="Q11" i="6"/>
  <c r="Q12" i="6"/>
  <c r="T5" i="6"/>
  <c r="AJ4" i="6"/>
  <c r="AT4" i="6" s="1"/>
  <c r="AJ5" i="6"/>
  <c r="AT5" i="6" s="1"/>
  <c r="AJ6" i="6"/>
  <c r="AT6" i="6" s="1"/>
  <c r="AJ8" i="6"/>
  <c r="AT8" i="6" s="1"/>
  <c r="AJ9" i="6"/>
  <c r="AT9" i="6" s="1"/>
  <c r="AN4" i="6"/>
  <c r="AJ3" i="6"/>
  <c r="Q3" i="6"/>
  <c r="S2" i="6" l="1"/>
  <c r="AK5" i="6"/>
  <c r="AJ7" i="6"/>
  <c r="AT7" i="6" s="1"/>
  <c r="AT3" i="6"/>
  <c r="AL3" i="6"/>
  <c r="AL12" i="6"/>
  <c r="AM12" i="6" s="1"/>
  <c r="AL9" i="6"/>
  <c r="AM9" i="6" s="1"/>
  <c r="AM3" i="6"/>
  <c r="AL8" i="6"/>
  <c r="AM8" i="6" s="1"/>
  <c r="AL10" i="6"/>
  <c r="AM10" i="6" s="1"/>
  <c r="AJ12" i="6"/>
  <c r="AT12" i="6" s="1"/>
  <c r="AN5" i="6"/>
  <c r="AL11" i="6"/>
  <c r="AM11" i="6" s="1"/>
  <c r="AK17" i="6"/>
  <c r="AL17" i="6" s="1"/>
  <c r="AM17" i="6" s="1"/>
  <c r="AM15" i="6"/>
  <c r="AK7" i="6"/>
  <c r="AL6" i="6"/>
  <c r="AM6" i="6" s="1"/>
  <c r="AL4" i="6"/>
  <c r="AM4" i="6" s="1"/>
  <c r="R5" i="6"/>
  <c r="S5" i="6" s="1"/>
  <c r="AM14" i="6"/>
  <c r="AM13" i="6"/>
  <c r="AI55" i="4"/>
  <c r="AJ55" i="4"/>
  <c r="AE54" i="4"/>
  <c r="BB52" i="4"/>
  <c r="BB53" i="4"/>
  <c r="BB54" i="4"/>
  <c r="BB55" i="4"/>
  <c r="AB54" i="4"/>
  <c r="AB55" i="4"/>
  <c r="AB56" i="4"/>
  <c r="BD56" i="4" s="1"/>
  <c r="AB57" i="4"/>
  <c r="BD57" i="4" s="1"/>
  <c r="AJ53" i="4"/>
  <c r="BF53" i="4"/>
  <c r="BL53" i="4"/>
  <c r="BL54" i="4"/>
  <c r="AX50" i="4"/>
  <c r="AX51" i="4"/>
  <c r="AX52" i="4"/>
  <c r="AX53" i="4"/>
  <c r="AX54" i="4"/>
  <c r="BL50" i="4"/>
  <c r="BL51" i="4"/>
  <c r="BL52" i="4"/>
  <c r="BF50" i="4"/>
  <c r="BF51" i="4"/>
  <c r="BF52" i="4"/>
  <c r="BF54" i="4"/>
  <c r="BF55" i="4"/>
  <c r="BF56" i="4"/>
  <c r="BC55" i="4" l="1"/>
  <c r="BC53" i="4"/>
  <c r="AM2" i="6"/>
  <c r="AJ54" i="4"/>
  <c r="BC54" i="4" s="1"/>
  <c r="AE80" i="4"/>
  <c r="BD55" i="4"/>
  <c r="AL7" i="6"/>
  <c r="AM7" i="6" s="1"/>
  <c r="AL5" i="6"/>
  <c r="AM5" i="6" s="1"/>
  <c r="BD54" i="4" l="1"/>
  <c r="BI54" i="4" s="1"/>
  <c r="AK54" i="4"/>
  <c r="AL54" i="4" s="1"/>
  <c r="AK55" i="4"/>
  <c r="AL55" i="4" s="1"/>
  <c r="AJ52" i="4"/>
  <c r="BC52" i="4" s="1"/>
  <c r="AK53" i="4"/>
  <c r="AL53" i="4" s="1"/>
  <c r="AB52" i="4"/>
  <c r="AC52" i="4" s="1"/>
  <c r="AB53" i="4"/>
  <c r="AC54" i="4"/>
  <c r="BE54" i="4" s="1"/>
  <c r="AC55" i="4"/>
  <c r="BE55" i="4" s="1"/>
  <c r="AC56" i="4"/>
  <c r="AC57" i="4"/>
  <c r="AM57" i="4" s="1"/>
  <c r="AB58" i="4"/>
  <c r="AK52" i="4" l="1"/>
  <c r="AL52" i="4" s="1"/>
  <c r="AM52" i="4" s="1"/>
  <c r="AM56" i="4"/>
  <c r="BE56" i="4"/>
  <c r="BD52" i="4"/>
  <c r="BE52" i="4"/>
  <c r="AC53" i="4"/>
  <c r="BE53" i="4" s="1"/>
  <c r="BD53" i="4"/>
  <c r="AC58" i="4"/>
  <c r="AM58" i="4" s="1"/>
  <c r="BD58" i="4"/>
  <c r="BE57" i="4"/>
  <c r="AM55" i="4"/>
  <c r="AM54" i="4"/>
  <c r="AJ50" i="4"/>
  <c r="AK50" i="4" s="1"/>
  <c r="AJ51" i="4"/>
  <c r="AK51" i="4" s="1"/>
  <c r="BB50" i="4"/>
  <c r="BB51" i="4"/>
  <c r="AB51" i="4"/>
  <c r="AM53" i="4" l="1"/>
  <c r="BE58" i="4"/>
  <c r="O46" i="4"/>
  <c r="AB46" i="4" s="1"/>
  <c r="AC46" i="4" s="1"/>
  <c r="AJ42" i="4"/>
  <c r="AJ43" i="4"/>
  <c r="AJ46" i="4"/>
  <c r="AK46" i="4" l="1"/>
  <c r="AL46" i="4" s="1"/>
  <c r="AM46" i="4" s="1"/>
  <c r="BC46" i="4"/>
  <c r="BD46" i="4" s="1"/>
  <c r="BE46" i="4" l="1"/>
  <c r="BL10" i="4"/>
  <c r="BL7" i="4"/>
  <c r="AC51" i="4" l="1"/>
  <c r="AB50" i="4"/>
  <c r="AC50" i="4" s="1"/>
  <c r="AX45" i="4"/>
  <c r="AX48" i="4"/>
  <c r="AX49" i="4"/>
  <c r="BF49" i="4"/>
  <c r="AO49" i="4"/>
  <c r="AJ49" i="4"/>
  <c r="AK49" i="4" s="1"/>
  <c r="AL49" i="4" s="1"/>
  <c r="AB49" i="4"/>
  <c r="AI48" i="4"/>
  <c r="AI80" i="4" s="1"/>
  <c r="AC49" i="4" l="1"/>
  <c r="AM49" i="4" l="1"/>
  <c r="BL48" i="4"/>
  <c r="BL49" i="4"/>
  <c r="BC50" i="4"/>
  <c r="BC51" i="4"/>
  <c r="BB48" i="4"/>
  <c r="BB49" i="4"/>
  <c r="BF48" i="4"/>
  <c r="AL50" i="4"/>
  <c r="AM50" i="4" s="1"/>
  <c r="AL51" i="4"/>
  <c r="AM51" i="4" s="1"/>
  <c r="AB48" i="4"/>
  <c r="AC48" i="4" s="1"/>
  <c r="BC49" i="4" l="1"/>
  <c r="BD49" i="4" s="1"/>
  <c r="BD51" i="4"/>
  <c r="BE51" i="4"/>
  <c r="BE50" i="4"/>
  <c r="BD50" i="4"/>
  <c r="BE49" i="4" l="1"/>
  <c r="BJ49" i="4" s="1"/>
  <c r="BL12" i="4"/>
  <c r="BL11" i="4"/>
  <c r="BW30" i="4" l="1"/>
  <c r="BW44" i="4"/>
  <c r="CB11" i="4"/>
  <c r="CB18" i="4"/>
  <c r="CB22" i="4"/>
  <c r="CB34" i="4"/>
  <c r="CB35" i="4"/>
  <c r="CB37" i="4"/>
  <c r="CB80" i="4" l="1"/>
  <c r="BR44" i="4"/>
  <c r="CI44" i="4" s="1"/>
  <c r="BR40" i="4"/>
  <c r="CI45" i="4"/>
  <c r="AO45" i="4"/>
  <c r="AX42" i="4"/>
  <c r="AX43" i="4"/>
  <c r="AX44" i="4"/>
  <c r="AB43" i="4"/>
  <c r="AB44" i="4"/>
  <c r="AB45" i="4"/>
  <c r="BB44" i="4"/>
  <c r="BT32" i="4"/>
  <c r="AO80" i="4" l="1"/>
  <c r="BZ9" i="4"/>
  <c r="BZ80" i="4" s="1"/>
  <c r="CI3" i="4"/>
  <c r="CI4" i="4"/>
  <c r="CI6" i="4"/>
  <c r="CI8" i="4"/>
  <c r="CI10" i="4"/>
  <c r="CI11" i="4"/>
  <c r="CI12" i="4"/>
  <c r="CI15" i="4"/>
  <c r="CI16" i="4"/>
  <c r="CI17" i="4"/>
  <c r="CI18" i="4"/>
  <c r="CI19" i="4"/>
  <c r="CI21" i="4"/>
  <c r="CI26" i="4"/>
  <c r="CI27" i="4"/>
  <c r="CI31" i="4"/>
  <c r="CI34" i="4"/>
  <c r="CI38" i="4"/>
  <c r="CI40" i="4"/>
  <c r="CI43" i="4"/>
  <c r="CI2" i="4"/>
  <c r="CG13" i="4"/>
  <c r="BW28" i="4"/>
  <c r="BW80" i="4" s="1"/>
  <c r="BV32" i="4"/>
  <c r="BV35" i="4"/>
  <c r="BV37" i="4"/>
  <c r="BV36" i="4"/>
  <c r="CN43" i="4"/>
  <c r="CN80" i="4" s="1"/>
  <c r="CI13" i="4" l="1"/>
  <c r="CG80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8" i="4"/>
  <c r="BL9" i="4"/>
  <c r="BB43" i="4"/>
  <c r="BF3" i="4"/>
  <c r="BF4" i="4"/>
  <c r="BF5" i="4"/>
  <c r="BF6" i="4"/>
  <c r="BF7" i="4"/>
  <c r="BF8" i="4"/>
  <c r="BF9" i="4"/>
  <c r="BF10" i="4"/>
  <c r="BF11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41" i="4"/>
  <c r="BF42" i="4"/>
  <c r="BF43" i="4"/>
  <c r="BF44" i="4"/>
  <c r="BF45" i="4"/>
  <c r="BF2" i="4"/>
  <c r="BR42" i="4"/>
  <c r="CI42" i="4" s="1"/>
  <c r="O42" i="4"/>
  <c r="BR41" i="4"/>
  <c r="BL80" i="4" l="1"/>
  <c r="BP41" i="4"/>
  <c r="AX40" i="4"/>
  <c r="AX41" i="4"/>
  <c r="AK42" i="4"/>
  <c r="AL42" i="4" s="1"/>
  <c r="AJ40" i="4"/>
  <c r="AK40" i="4" s="1"/>
  <c r="AL40" i="4" s="1"/>
  <c r="AJ41" i="4"/>
  <c r="AK41" i="4" s="1"/>
  <c r="AL41" i="4" s="1"/>
  <c r="BC43" i="4"/>
  <c r="AJ44" i="4"/>
  <c r="AK44" i="4" s="1"/>
  <c r="AL44" i="4" s="1"/>
  <c r="N41" i="4"/>
  <c r="AB41" i="4" s="1"/>
  <c r="AC41" i="4" s="1"/>
  <c r="AB38" i="4"/>
  <c r="AB39" i="4"/>
  <c r="AB40" i="4"/>
  <c r="AC40" i="4" s="1"/>
  <c r="AB42" i="4"/>
  <c r="AC42" i="4" s="1"/>
  <c r="AC43" i="4"/>
  <c r="AC44" i="4"/>
  <c r="BB40" i="4"/>
  <c r="BB41" i="4"/>
  <c r="BB42" i="4"/>
  <c r="BC42" i="4" s="1"/>
  <c r="BC40" i="4" l="1"/>
  <c r="CI41" i="4"/>
  <c r="BP80" i="4"/>
  <c r="AM41" i="4"/>
  <c r="AM40" i="4"/>
  <c r="AM44" i="4"/>
  <c r="AM42" i="4"/>
  <c r="BE40" i="4"/>
  <c r="BC44" i="4"/>
  <c r="BD44" i="4" s="1"/>
  <c r="BI44" i="4" s="1"/>
  <c r="BC41" i="4"/>
  <c r="BE41" i="4" s="1"/>
  <c r="BI41" i="4" s="1"/>
  <c r="BE43" i="4"/>
  <c r="AK43" i="4"/>
  <c r="AL43" i="4" s="1"/>
  <c r="AM43" i="4" s="1"/>
  <c r="BD40" i="4"/>
  <c r="BD42" i="4"/>
  <c r="BD43" i="4"/>
  <c r="BE42" i="4"/>
  <c r="BV30" i="4"/>
  <c r="BV29" i="4"/>
  <c r="BY28" i="4"/>
  <c r="BY80" i="4" s="1"/>
  <c r="CH28" i="4"/>
  <c r="BX37" i="4"/>
  <c r="BX33" i="4"/>
  <c r="BX35" i="4"/>
  <c r="BV80" i="4" l="1"/>
  <c r="C100" i="4"/>
  <c r="CI78" i="4"/>
  <c r="BX80" i="4"/>
  <c r="CI28" i="4"/>
  <c r="BD41" i="4"/>
  <c r="BE44" i="4"/>
  <c r="CH33" i="4"/>
  <c r="CI33" i="4" s="1"/>
  <c r="CH80" i="4" l="1"/>
  <c r="F100" i="4" s="1"/>
  <c r="BR37" i="4"/>
  <c r="CI37" i="4" s="1"/>
  <c r="BR36" i="4"/>
  <c r="BR32" i="4"/>
  <c r="CI32" i="4" s="1"/>
  <c r="BR29" i="4"/>
  <c r="CI29" i="4" s="1"/>
  <c r="BR24" i="4"/>
  <c r="CI24" i="4" s="1"/>
  <c r="BR25" i="4"/>
  <c r="CI25" i="4" s="1"/>
  <c r="BR23" i="4"/>
  <c r="CI23" i="4" s="1"/>
  <c r="BR22" i="4"/>
  <c r="CI22" i="4" s="1"/>
  <c r="CI20" i="4"/>
  <c r="BR14" i="4"/>
  <c r="CI14" i="4" s="1"/>
  <c r="BR7" i="4"/>
  <c r="CI7" i="4" s="1"/>
  <c r="BT36" i="4"/>
  <c r="CI36" i="4" l="1"/>
  <c r="BT80" i="4"/>
  <c r="F90" i="4" s="1"/>
  <c r="R33" i="4"/>
  <c r="R80" i="4" s="1"/>
  <c r="O33" i="4"/>
  <c r="O80" i="4" s="1"/>
  <c r="BA29" i="4"/>
  <c r="N29" i="4"/>
  <c r="N80" i="4" s="1"/>
  <c r="C99" i="4" s="1"/>
  <c r="C101" i="4" s="1"/>
  <c r="K29" i="4"/>
  <c r="AQ28" i="4" l="1"/>
  <c r="BA36" i="4" l="1"/>
  <c r="BA80" i="4" s="1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5" i="4"/>
  <c r="BB17" i="4"/>
  <c r="K27" i="4"/>
  <c r="BR30" i="4"/>
  <c r="CI30" i="4" s="1"/>
  <c r="K30" i="4"/>
  <c r="BB8" i="4"/>
  <c r="K8" i="4"/>
  <c r="CM9" i="4"/>
  <c r="CM80" i="4" s="1"/>
  <c r="BO9" i="4"/>
  <c r="K9" i="4"/>
  <c r="BR35" i="4"/>
  <c r="CI35" i="4" s="1"/>
  <c r="K80" i="4" l="1"/>
  <c r="C83" i="4" s="1"/>
  <c r="C85" i="4" s="1"/>
  <c r="CI9" i="4"/>
  <c r="BO80" i="4"/>
  <c r="BB2" i="4"/>
  <c r="BB3" i="4"/>
  <c r="BB4" i="4"/>
  <c r="BB5" i="4"/>
  <c r="AQ4" i="4"/>
  <c r="AQ80" i="4" s="1"/>
  <c r="BR5" i="4"/>
  <c r="AJ2" i="4"/>
  <c r="AJ3" i="4"/>
  <c r="AJ4" i="4"/>
  <c r="AJ5" i="4"/>
  <c r="AJ6" i="4"/>
  <c r="AJ7" i="4"/>
  <c r="AJ8" i="4"/>
  <c r="AJ9" i="4"/>
  <c r="AJ10" i="4"/>
  <c r="AJ11" i="4"/>
  <c r="AJ12" i="4"/>
  <c r="AJ16" i="4"/>
  <c r="AJ17" i="4"/>
  <c r="AJ18" i="4"/>
  <c r="AJ19" i="4"/>
  <c r="AJ20" i="4"/>
  <c r="AJ21" i="4"/>
  <c r="AJ22" i="4"/>
  <c r="AJ23" i="4"/>
  <c r="BC23" i="4" s="1"/>
  <c r="AJ24" i="4"/>
  <c r="BC24" i="4" s="1"/>
  <c r="AJ25" i="4"/>
  <c r="BC25" i="4" s="1"/>
  <c r="AJ26" i="4"/>
  <c r="BC26" i="4" s="1"/>
  <c r="AJ27" i="4"/>
  <c r="BC27" i="4" s="1"/>
  <c r="AJ28" i="4"/>
  <c r="BC28" i="4" s="1"/>
  <c r="AJ29" i="4"/>
  <c r="BC29" i="4" s="1"/>
  <c r="AJ30" i="4"/>
  <c r="BC30" i="4" s="1"/>
  <c r="AJ31" i="4"/>
  <c r="BC31" i="4" s="1"/>
  <c r="AJ32" i="4"/>
  <c r="AJ33" i="4"/>
  <c r="BC33" i="4" s="1"/>
  <c r="AJ34" i="4"/>
  <c r="BC34" i="4" s="1"/>
  <c r="AJ35" i="4"/>
  <c r="BC35" i="4" s="1"/>
  <c r="AJ36" i="4"/>
  <c r="BC36" i="4" s="1"/>
  <c r="AJ37" i="4"/>
  <c r="BC37" i="4" s="1"/>
  <c r="AJ38" i="4"/>
  <c r="BC38" i="4" s="1"/>
  <c r="BR39" i="4"/>
  <c r="CI39" i="4" s="1"/>
  <c r="CI5" i="4" l="1"/>
  <c r="CI80" i="4" s="1"/>
  <c r="BR80" i="4"/>
  <c r="F95" i="4" s="1"/>
  <c r="BC3" i="4"/>
  <c r="BC5" i="4"/>
  <c r="BC4" i="4"/>
  <c r="BC2" i="4"/>
  <c r="AJ39" i="4" l="1"/>
  <c r="BC21" i="4"/>
  <c r="BC22" i="4"/>
  <c r="AK2" i="4"/>
  <c r="AK3" i="4"/>
  <c r="AL3" i="4" s="1"/>
  <c r="AK4" i="4"/>
  <c r="AL4" i="4" s="1"/>
  <c r="AK5" i="4"/>
  <c r="AL5" i="4" s="1"/>
  <c r="AK6" i="4"/>
  <c r="AL6" i="4" s="1"/>
  <c r="AK7" i="4"/>
  <c r="AL7" i="4" s="1"/>
  <c r="AK8" i="4"/>
  <c r="AL8" i="4" s="1"/>
  <c r="AK9" i="4"/>
  <c r="AL9" i="4" s="1"/>
  <c r="AK10" i="4"/>
  <c r="AL10" i="4" s="1"/>
  <c r="AK11" i="4"/>
  <c r="AL11" i="4" s="1"/>
  <c r="AK12" i="4"/>
  <c r="AK13" i="4"/>
  <c r="AL13" i="4" s="1"/>
  <c r="AK14" i="4"/>
  <c r="AL14" i="4" s="1"/>
  <c r="AK15" i="4"/>
  <c r="AL15" i="4" s="1"/>
  <c r="AK16" i="4"/>
  <c r="AL16" i="4" s="1"/>
  <c r="AK17" i="4"/>
  <c r="AL17" i="4" s="1"/>
  <c r="AK18" i="4"/>
  <c r="AL18" i="4" s="1"/>
  <c r="AK19" i="4"/>
  <c r="AL19" i="4" s="1"/>
  <c r="AK20" i="4"/>
  <c r="AL20" i="4" s="1"/>
  <c r="AK21" i="4"/>
  <c r="AL21" i="4" s="1"/>
  <c r="AK22" i="4"/>
  <c r="AL22" i="4" s="1"/>
  <c r="AK23" i="4"/>
  <c r="AL23" i="4" s="1"/>
  <c r="AK24" i="4"/>
  <c r="AL24" i="4" s="1"/>
  <c r="AK25" i="4"/>
  <c r="AL25" i="4" s="1"/>
  <c r="AK26" i="4"/>
  <c r="AL26" i="4" s="1"/>
  <c r="AK27" i="4"/>
  <c r="AL27" i="4" s="1"/>
  <c r="AK28" i="4"/>
  <c r="AL28" i="4" s="1"/>
  <c r="AK29" i="4"/>
  <c r="AL29" i="4" s="1"/>
  <c r="AK30" i="4"/>
  <c r="AL30" i="4" s="1"/>
  <c r="AK31" i="4"/>
  <c r="AL31" i="4" s="1"/>
  <c r="AK32" i="4"/>
  <c r="AL32" i="4" s="1"/>
  <c r="AK33" i="4"/>
  <c r="AL33" i="4" s="1"/>
  <c r="AK34" i="4"/>
  <c r="AL34" i="4" s="1"/>
  <c r="AK35" i="4"/>
  <c r="AL35" i="4" s="1"/>
  <c r="AK36" i="4"/>
  <c r="AL36" i="4" s="1"/>
  <c r="AK37" i="4"/>
  <c r="AL37" i="4" s="1"/>
  <c r="AK38" i="4"/>
  <c r="AL38" i="4" s="1"/>
  <c r="AK39" i="4"/>
  <c r="AL39" i="4" s="1"/>
  <c r="AJ45" i="4"/>
  <c r="AJ48" i="4"/>
  <c r="AX24" i="4"/>
  <c r="AX25" i="4"/>
  <c r="AX26" i="4"/>
  <c r="AX27" i="4"/>
  <c r="AX28" i="4"/>
  <c r="AX29" i="4"/>
  <c r="AX30" i="4"/>
  <c r="AX31" i="4"/>
  <c r="AX32" i="4"/>
  <c r="BC32" i="4" s="1"/>
  <c r="AX33" i="4"/>
  <c r="AX34" i="4"/>
  <c r="AX35" i="4"/>
  <c r="AX36" i="4"/>
  <c r="AX38" i="4"/>
  <c r="AX39" i="4"/>
  <c r="AC45" i="4"/>
  <c r="AB22" i="4"/>
  <c r="AC22" i="4" s="1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U39" i="4"/>
  <c r="U80" i="4" s="1"/>
  <c r="F99" i="4" s="1"/>
  <c r="BD32" i="4" l="1"/>
  <c r="AL2" i="4"/>
  <c r="AJ80" i="4"/>
  <c r="BC39" i="4"/>
  <c r="AK45" i="4"/>
  <c r="AL45" i="4" s="1"/>
  <c r="AM45" i="4" s="1"/>
  <c r="BC48" i="4"/>
  <c r="BE48" i="4" s="1"/>
  <c r="AK48" i="4"/>
  <c r="AL48" i="4" s="1"/>
  <c r="AM48" i="4" s="1"/>
  <c r="BC45" i="4"/>
  <c r="AC39" i="4"/>
  <c r="AM39" i="4" s="1"/>
  <c r="AC28" i="4"/>
  <c r="BE28" i="4" s="1"/>
  <c r="BD28" i="4"/>
  <c r="AC38" i="4"/>
  <c r="BE38" i="4" s="1"/>
  <c r="BD38" i="4"/>
  <c r="AC31" i="4"/>
  <c r="BE31" i="4" s="1"/>
  <c r="BD31" i="4"/>
  <c r="AC27" i="4"/>
  <c r="BE27" i="4" s="1"/>
  <c r="BD27" i="4"/>
  <c r="AC23" i="4"/>
  <c r="AM23" i="4" s="1"/>
  <c r="BD23" i="4"/>
  <c r="BD22" i="4"/>
  <c r="AC24" i="4"/>
  <c r="BE24" i="4" s="1"/>
  <c r="BD24" i="4"/>
  <c r="AC26" i="4"/>
  <c r="BE26" i="4" s="1"/>
  <c r="BD26" i="4"/>
  <c r="AC32" i="4"/>
  <c r="BE32" i="4" s="1"/>
  <c r="AC37" i="4"/>
  <c r="BE37" i="4" s="1"/>
  <c r="BJ37" i="4" s="1"/>
  <c r="BD37" i="4"/>
  <c r="AC36" i="4"/>
  <c r="BE36" i="4" s="1"/>
  <c r="BD36" i="4"/>
  <c r="AC33" i="4"/>
  <c r="BE33" i="4" s="1"/>
  <c r="BD33" i="4"/>
  <c r="AC29" i="4"/>
  <c r="BE29" i="4" s="1"/>
  <c r="BD29" i="4"/>
  <c r="AC25" i="4"/>
  <c r="BE25" i="4" s="1"/>
  <c r="BD25" i="4"/>
  <c r="AM22" i="4"/>
  <c r="AC30" i="4"/>
  <c r="BE30" i="4" s="1"/>
  <c r="BD30" i="4"/>
  <c r="BI30" i="4" s="1"/>
  <c r="BD34" i="4"/>
  <c r="AC34" i="4"/>
  <c r="BE34" i="4" s="1"/>
  <c r="BJ34" i="4" s="1"/>
  <c r="AC35" i="4"/>
  <c r="BE35" i="4" s="1"/>
  <c r="BJ35" i="4" s="1"/>
  <c r="BD35" i="4"/>
  <c r="AB19" i="4"/>
  <c r="AB20" i="4"/>
  <c r="AC20" i="4" s="1"/>
  <c r="AM20" i="4" s="1"/>
  <c r="AB21" i="4"/>
  <c r="AC21" i="4" s="1"/>
  <c r="AM21" i="4" s="1"/>
  <c r="AK80" i="4" l="1"/>
  <c r="F105" i="4" s="1"/>
  <c r="BD48" i="4"/>
  <c r="AM38" i="4"/>
  <c r="AM26" i="4"/>
  <c r="BE45" i="4"/>
  <c r="BD45" i="4"/>
  <c r="AM28" i="4"/>
  <c r="AM27" i="4"/>
  <c r="AM31" i="4"/>
  <c r="AM33" i="4"/>
  <c r="AM37" i="4"/>
  <c r="AM24" i="4"/>
  <c r="AM36" i="4"/>
  <c r="BD21" i="4"/>
  <c r="AM29" i="4"/>
  <c r="AM25" i="4"/>
  <c r="AM32" i="4"/>
  <c r="AC19" i="4"/>
  <c r="AM30" i="4"/>
  <c r="AM34" i="4"/>
  <c r="AM35" i="4"/>
  <c r="BD39" i="4"/>
  <c r="BE39" i="4"/>
  <c r="AM19" i="4" l="1"/>
  <c r="BH7" i="4"/>
  <c r="BH80" i="4" s="1"/>
  <c r="BB6" i="4"/>
  <c r="BB7" i="4"/>
  <c r="BC7" i="4" s="1"/>
  <c r="BC8" i="4"/>
  <c r="BB9" i="4"/>
  <c r="BC9" i="4" s="1"/>
  <c r="AY10" i="4"/>
  <c r="AZ10" i="4"/>
  <c r="AZ80" i="4" s="1"/>
  <c r="AX2" i="4"/>
  <c r="BB13" i="4"/>
  <c r="BC13" i="4" s="1"/>
  <c r="BB14" i="4"/>
  <c r="BC14" i="4" s="1"/>
  <c r="BB15" i="4"/>
  <c r="BC15" i="4" s="1"/>
  <c r="BB16" i="4"/>
  <c r="BC16" i="4" s="1"/>
  <c r="BC17" i="4"/>
  <c r="BC19" i="4"/>
  <c r="BD19" i="4" s="1"/>
  <c r="BC20" i="4"/>
  <c r="AX14" i="4"/>
  <c r="AX15" i="4"/>
  <c r="AX16" i="4"/>
  <c r="AX17" i="4"/>
  <c r="AX18" i="4"/>
  <c r="AX19" i="4"/>
  <c r="AX20" i="4"/>
  <c r="AX21" i="4"/>
  <c r="BE21" i="4" s="1"/>
  <c r="AX22" i="4"/>
  <c r="BE22" i="4" s="1"/>
  <c r="AX23" i="4"/>
  <c r="BE23" i="4" s="1"/>
  <c r="AB13" i="4"/>
  <c r="AB14" i="4"/>
  <c r="AC14" i="4" s="1"/>
  <c r="AM14" i="4" s="1"/>
  <c r="AB15" i="4"/>
  <c r="AB16" i="4"/>
  <c r="AC16" i="4" s="1"/>
  <c r="AM16" i="4" s="1"/>
  <c r="AB17" i="4"/>
  <c r="AC17" i="4" s="1"/>
  <c r="AM17" i="4" s="1"/>
  <c r="AB18" i="4"/>
  <c r="AC18" i="4" s="1"/>
  <c r="AM18" i="4" s="1"/>
  <c r="BC6" i="4" l="1"/>
  <c r="AC15" i="4"/>
  <c r="AM15" i="4" s="1"/>
  <c r="BE14" i="4"/>
  <c r="BG14" i="4" s="1"/>
  <c r="BD14" i="4"/>
  <c r="BE17" i="4"/>
  <c r="BG17" i="4" s="1"/>
  <c r="BD17" i="4"/>
  <c r="BC18" i="4"/>
  <c r="BE20" i="4"/>
  <c r="BG20" i="4" s="1"/>
  <c r="BD20" i="4"/>
  <c r="BE16" i="4"/>
  <c r="BD16" i="4"/>
  <c r="BE15" i="4"/>
  <c r="BG15" i="4" s="1"/>
  <c r="BD15" i="4"/>
  <c r="BD13" i="4"/>
  <c r="AC13" i="4"/>
  <c r="BE19" i="4"/>
  <c r="BE18" i="4" l="1"/>
  <c r="BG18" i="4" s="1"/>
  <c r="BD18" i="4"/>
  <c r="AM13" i="4"/>
  <c r="BB10" i="4"/>
  <c r="BB11" i="4"/>
  <c r="BC11" i="4" s="1"/>
  <c r="BC10" i="4" l="1"/>
  <c r="AX3" i="4"/>
  <c r="AX4" i="4"/>
  <c r="AX5" i="4"/>
  <c r="AX6" i="4"/>
  <c r="AX7" i="4"/>
  <c r="AX8" i="4"/>
  <c r="AX9" i="4"/>
  <c r="AX10" i="4"/>
  <c r="AX11" i="4"/>
  <c r="AB2" i="4"/>
  <c r="AB3" i="4"/>
  <c r="AB4" i="4"/>
  <c r="AB5" i="4"/>
  <c r="AB6" i="4"/>
  <c r="AB7" i="4"/>
  <c r="AB8" i="4"/>
  <c r="AB9" i="4"/>
  <c r="AB10" i="4"/>
  <c r="AB11" i="4"/>
  <c r="AY12" i="4"/>
  <c r="AY80" i="4" s="1"/>
  <c r="C105" i="4" s="1"/>
  <c r="AV12" i="4"/>
  <c r="AV80" i="4" s="1"/>
  <c r="BD2" i="4" l="1"/>
  <c r="AX12" i="4"/>
  <c r="BF12" i="4"/>
  <c r="BF80" i="4" s="1"/>
  <c r="AC7" i="4"/>
  <c r="BD7" i="4"/>
  <c r="AC10" i="4"/>
  <c r="BD10" i="4"/>
  <c r="AC2" i="4"/>
  <c r="AC3" i="4"/>
  <c r="BD3" i="4"/>
  <c r="AC6" i="4"/>
  <c r="BD6" i="4"/>
  <c r="AC8" i="4"/>
  <c r="BD8" i="4"/>
  <c r="BI8" i="4" s="1"/>
  <c r="BI80" i="4" s="1"/>
  <c r="BD9" i="4"/>
  <c r="AC9" i="4"/>
  <c r="BD11" i="4"/>
  <c r="AC11" i="4"/>
  <c r="BD4" i="4"/>
  <c r="AC4" i="4"/>
  <c r="AC5" i="4"/>
  <c r="BD5" i="4"/>
  <c r="BB12" i="4"/>
  <c r="AG12" i="4"/>
  <c r="AG80" i="4" s="1"/>
  <c r="C111" i="4" s="1"/>
  <c r="AF12" i="4"/>
  <c r="AF80" i="4" s="1"/>
  <c r="AB12" i="4"/>
  <c r="AC12" i="4" s="1"/>
  <c r="AC80" i="4" l="1"/>
  <c r="AB80" i="4"/>
  <c r="BC12" i="4"/>
  <c r="BC80" i="4" s="1"/>
  <c r="F111" i="4" s="1"/>
  <c r="BB80" i="4"/>
  <c r="AL12" i="4"/>
  <c r="AL80" i="4" s="1"/>
  <c r="AM10" i="4"/>
  <c r="BE10" i="4"/>
  <c r="BE3" i="4"/>
  <c r="BG3" i="4" s="1"/>
  <c r="AM3" i="4"/>
  <c r="AM6" i="4"/>
  <c r="BE6" i="4"/>
  <c r="BG6" i="4" s="1"/>
  <c r="BE2" i="4"/>
  <c r="AM2" i="4"/>
  <c r="AM7" i="4"/>
  <c r="BE7" i="4"/>
  <c r="BE8" i="4"/>
  <c r="AM8" i="4"/>
  <c r="BE9" i="4"/>
  <c r="BG9" i="4" s="1"/>
  <c r="AM9" i="4"/>
  <c r="BE11" i="4"/>
  <c r="BJ11" i="4" s="1"/>
  <c r="AM11" i="4"/>
  <c r="BE4" i="4"/>
  <c r="AM4" i="4"/>
  <c r="BE5" i="4"/>
  <c r="AM5" i="4"/>
  <c r="BE12" i="4" l="1"/>
  <c r="BG12" i="4" s="1"/>
  <c r="BD12" i="4"/>
  <c r="BD80" i="4" s="1"/>
  <c r="AM12" i="4"/>
  <c r="AM80" i="4"/>
  <c r="BJ6" i="4"/>
  <c r="BJ3" i="4"/>
  <c r="BG10" i="4"/>
  <c r="BG80" i="4" s="1"/>
  <c r="BJ80" i="4" l="1"/>
  <c r="C118" i="4" s="1"/>
  <c r="AX13" i="4"/>
  <c r="AX80" i="4" s="1"/>
  <c r="BE13" i="4"/>
  <c r="BE80" i="4" s="1"/>
  <c r="AL34" i="6"/>
  <c r="AL81" i="6"/>
  <c r="AM81" i="6" s="1"/>
  <c r="AM34" i="6" l="1"/>
  <c r="AL125" i="6"/>
  <c r="AM125" i="6" s="1"/>
  <c r="F89" i="4" l="1"/>
  <c r="T80" i="4"/>
  <c r="W80" i="4"/>
  <c r="F94" i="4"/>
  <c r="F96" i="4"/>
  <c r="AQ2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Mirax</author>
  </authors>
  <commentList>
    <comment ref="BK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BV PARA EMPRESAS, AGENCIAS OU PESSOAS
</t>
        </r>
      </text>
    </comment>
    <comment ref="BW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BV  COMERCIAL OPERA + BV MARIO POLINDIA</t>
        </r>
      </text>
    </comment>
    <comment ref="F99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VALOR ALTO POIS TEM 2 
CONTRATO DE LOCAÇÃO DA MULTI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Mirax</author>
  </authors>
  <commentList>
    <comment ref="B15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ajuda de custo 7560*12
</t>
        </r>
      </text>
    </comment>
    <comment ref="K17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O17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S17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W17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AA17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AE17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AI17" authorId="0" shapeId="0" xr:uid="{00000000-0006-0000-0100-000008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AM17" authorId="0" shapeId="0" xr:uid="{00000000-0006-0000-0100-000009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AQ17" authorId="0" shapeId="0" xr:uid="{00000000-0006-0000-0100-00000A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AU17" authorId="0" shapeId="0" xr:uid="{00000000-0006-0000-0100-00000B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AY17" authorId="0" shapeId="0" xr:uid="{00000000-0006-0000-0100-00000C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BC17" authorId="0" shapeId="0" xr:uid="{00000000-0006-0000-0100-00000D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10% SOBRE ALUGUEL =6700 + IPTU 860 = 7560,00 ( 2024)</t>
        </r>
      </text>
    </comment>
    <comment ref="P44" authorId="0" shapeId="0" xr:uid="{00000000-0006-0000-0100-00000E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foi dado desconto e fechou em 25k</t>
        </r>
      </text>
    </comment>
    <comment ref="P46" authorId="0" shapeId="0" xr:uid="{00000000-0006-0000-0100-00000F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sem valor de imposto na propsta 68*1000pax
</t>
        </r>
      </text>
    </comment>
    <comment ref="I51" authorId="0" shapeId="0" xr:uid="{00000000-0006-0000-0100-000010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está nota eles devem fazer a recusa 
</t>
        </r>
      </text>
    </comment>
    <comment ref="G65" authorId="0" shapeId="0" xr:uid="{00000000-0006-0000-0100-000011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saque pagou medianeira e barigui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Mirax</author>
  </authors>
  <commentList>
    <comment ref="H25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SOMADO TUDO DE ALIEMNTAÇÃO E CONVITE EXTRA/ POR 350 PESSOAS 
</t>
        </r>
      </text>
    </comment>
    <comment ref="G35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32 STAFF</t>
        </r>
      </text>
    </comment>
    <comment ref="G59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TIVEOS 72 ENTRADAS 2° PORTARIA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Mirax</author>
    <author>Financeiro</author>
  </authors>
  <commentList>
    <comment ref="H25" authorId="0" shapeId="0" xr:uid="{CF8A7056-02F4-4297-8A1E-AA8BE50F96B8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SOMADO TUDO DE ALIEMNTAÇÃO E CONVITE EXTRA/ POR 350 PESSOAS 
</t>
        </r>
      </text>
    </comment>
    <comment ref="G35" authorId="0" shapeId="0" xr:uid="{AA624610-2CB7-49D8-BC41-3F155BD1318F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32 STAFF</t>
        </r>
      </text>
    </comment>
    <comment ref="H41" authorId="1" shapeId="0" xr:uid="{4AE57A0E-7FD6-421D-A752-9DF3C060DB74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DESCONTANDO AS BEBIDAS (OCH)</t>
        </r>
      </text>
    </comment>
    <comment ref="H53" authorId="1" shapeId="0" xr:uid="{6832AB5E-55A9-486F-8351-3CA636F5849F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DESCONTANDO SOFT </t>
        </r>
      </text>
    </comment>
    <comment ref="G59" authorId="0" shapeId="0" xr:uid="{35D5751A-F3BD-4A38-B862-484B0B6E44D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TIVEOS 72 ENTRADAS 2° PORTARIA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Mirax</author>
    <author>Financeiro</author>
  </authors>
  <commentList>
    <comment ref="AS1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BV PARA EMPRESAS, AGENCIAS OU PESSOAS
</t>
        </r>
      </text>
    </comment>
    <comment ref="K46" authorId="1" shapeId="0" xr:uid="{A09C52E8-86A5-4ECB-AD34-4B34703E1972}">
      <text>
        <r>
          <rPr>
            <b/>
            <sz val="9"/>
            <color indexed="81"/>
            <rFont val="Segoe UI"/>
            <family val="2"/>
          </rPr>
          <t>Financeiro:</t>
        </r>
        <r>
          <rPr>
            <sz val="9"/>
            <color indexed="81"/>
            <rFont val="Segoe UI"/>
            <family val="2"/>
          </rPr>
          <t xml:space="preserve">
indicidual 25,00
</t>
        </r>
      </text>
    </comment>
    <comment ref="AS120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 xml:space="preserve">Mirax:BV FORMO 
</t>
        </r>
      </text>
    </comment>
    <comment ref="B136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Mirax:</t>
        </r>
        <r>
          <rPr>
            <sz val="9"/>
            <color indexed="81"/>
            <rFont val="Segoe UI"/>
            <family val="2"/>
          </rPr>
          <t xml:space="preserve">
02/12/2024 ADIADO</t>
        </r>
      </text>
    </comment>
  </commentList>
</comments>
</file>

<file path=xl/sharedStrings.xml><?xml version="1.0" encoding="utf-8"?>
<sst xmlns="http://schemas.openxmlformats.org/spreadsheetml/2006/main" count="1925" uniqueCount="618">
  <si>
    <t xml:space="preserve">DATA </t>
  </si>
  <si>
    <t>TIPO</t>
  </si>
  <si>
    <t>N° CTT</t>
  </si>
  <si>
    <t xml:space="preserve">LOCAL </t>
  </si>
  <si>
    <t>ECAD</t>
  </si>
  <si>
    <t>PLAY AUDIO</t>
  </si>
  <si>
    <t>GERADOR</t>
  </si>
  <si>
    <t>DECORAÇÃO</t>
  </si>
  <si>
    <t>L+B</t>
  </si>
  <si>
    <t>OCH</t>
  </si>
  <si>
    <t>TEMPO DE CASA POSITIVO</t>
  </si>
  <si>
    <t>DIREITO PUC</t>
  </si>
  <si>
    <t xml:space="preserve">AGENCIA </t>
  </si>
  <si>
    <t>CORPORATIVO</t>
  </si>
  <si>
    <t>POSITIVO</t>
  </si>
  <si>
    <t>YZ</t>
  </si>
  <si>
    <t>DIREITO FAE</t>
  </si>
  <si>
    <t>GENERO</t>
  </si>
  <si>
    <t xml:space="preserve">ADTV </t>
  </si>
  <si>
    <t xml:space="preserve"> TURMAS UNIBRASIL</t>
  </si>
  <si>
    <t>EUPHORIA</t>
  </si>
  <si>
    <t>ADTV STAFF</t>
  </si>
  <si>
    <t>15 ANOS KATIA SODEXO</t>
  </si>
  <si>
    <t>SOCIAL</t>
  </si>
  <si>
    <t>FORMATURA</t>
  </si>
  <si>
    <t>AGRONOMIA UFPR</t>
  </si>
  <si>
    <t>15 ANOS JULIA</t>
  </si>
  <si>
    <t xml:space="preserve">JUBILEU MEDICINA </t>
  </si>
  <si>
    <t>POLYNDIA</t>
  </si>
  <si>
    <t>FESTA FRIENDS</t>
  </si>
  <si>
    <t>FESTA</t>
  </si>
  <si>
    <t>RONI</t>
  </si>
  <si>
    <t>L</t>
  </si>
  <si>
    <t>SODEXO CORPORATIVO</t>
  </si>
  <si>
    <t>SODEXO</t>
  </si>
  <si>
    <t>LEGENDARIOS</t>
  </si>
  <si>
    <t>PIB</t>
  </si>
  <si>
    <t>RELIGIOSO</t>
  </si>
  <si>
    <t>AIR PROMO</t>
  </si>
  <si>
    <t>BEST MIDIA 2024</t>
  </si>
  <si>
    <t>BEST MIDIA</t>
  </si>
  <si>
    <t>SINDICATO DOS BANACRIOS</t>
  </si>
  <si>
    <t>PARTIDO SOCIAL DEMOCRATA</t>
  </si>
  <si>
    <t>POLITICO</t>
  </si>
  <si>
    <t>LEGENDARIOS JANTAR</t>
  </si>
  <si>
    <t xml:space="preserve">ENFERMGEM, EDC </t>
  </si>
  <si>
    <t xml:space="preserve">MED VET </t>
  </si>
  <si>
    <t>ADTV DECORAÇÃO</t>
  </si>
  <si>
    <t>MED VET PUC</t>
  </si>
  <si>
    <t>NOVA ERA</t>
  </si>
  <si>
    <t xml:space="preserve">BAILE MED VET </t>
  </si>
  <si>
    <t xml:space="preserve">BAILE DE GALA DTO </t>
  </si>
  <si>
    <t xml:space="preserve">BAILE EDC+ARQ+EDC F </t>
  </si>
  <si>
    <t xml:space="preserve">NOVA ERA </t>
  </si>
  <si>
    <t>BAILE BIOMED+ARQ+ CIENCIA+PSICO</t>
  </si>
  <si>
    <t>JANTAR AKIRA</t>
  </si>
  <si>
    <t xml:space="preserve">JANTAR </t>
  </si>
  <si>
    <t>SICREDI</t>
  </si>
  <si>
    <t>RELIGIODO</t>
  </si>
  <si>
    <t>JANTAR LELE YURI</t>
  </si>
  <si>
    <t xml:space="preserve">BIOMED + </t>
  </si>
  <si>
    <t>BACILA</t>
  </si>
  <si>
    <t>JANTAR AMANDA ROSA TURMA MED</t>
  </si>
  <si>
    <t>BAILE ODONTO</t>
  </si>
  <si>
    <t xml:space="preserve">YZ </t>
  </si>
  <si>
    <t>EUPHORA</t>
  </si>
  <si>
    <t>24/07/224</t>
  </si>
  <si>
    <t xml:space="preserve">CANCELADO </t>
  </si>
  <si>
    <t xml:space="preserve">REUNIÃO INTERMED  SEM CTT </t>
  </si>
  <si>
    <t>GRAVAÇÃO EP LUIZINHO SEM CTT</t>
  </si>
  <si>
    <t>RECPÇÃO</t>
  </si>
  <si>
    <t>LIMPEZA</t>
  </si>
  <si>
    <t>BODAS AEL AJ sem ctt</t>
  </si>
  <si>
    <t xml:space="preserve">ORGANACT SEM CTT </t>
  </si>
  <si>
    <t>LOCAÇÃO</t>
  </si>
  <si>
    <t>PLAY</t>
  </si>
  <si>
    <t>STAFF</t>
  </si>
  <si>
    <t>HEAD</t>
  </si>
  <si>
    <t>MULTI</t>
  </si>
  <si>
    <t>ADTV PLAY</t>
  </si>
  <si>
    <t>SOFT</t>
  </si>
  <si>
    <t>ADTV BAR DE DRINKS</t>
  </si>
  <si>
    <t>ALIMENTAÇÃO</t>
  </si>
  <si>
    <t>B.S E B.B</t>
  </si>
  <si>
    <t>ADTV B.B</t>
  </si>
  <si>
    <t xml:space="preserve">pax </t>
  </si>
  <si>
    <t xml:space="preserve">TOTAL BAR </t>
  </si>
  <si>
    <t>TOTAL L</t>
  </si>
  <si>
    <t xml:space="preserve">TOTAL CONTRATO B </t>
  </si>
  <si>
    <t xml:space="preserve">IMPOSTO </t>
  </si>
  <si>
    <t>IPCA CTT</t>
  </si>
  <si>
    <t xml:space="preserve">IPCA CONVITE </t>
  </si>
  <si>
    <t>TOTAL L+B + IMPOSTO+IPCA</t>
  </si>
  <si>
    <t xml:space="preserve">BV NOVA ERA </t>
  </si>
  <si>
    <t>BV EUPHORIA</t>
  </si>
  <si>
    <t xml:space="preserve">BV POLYNDIA </t>
  </si>
  <si>
    <t>BV DIVERSOS</t>
  </si>
  <si>
    <t xml:space="preserve">BV YZ </t>
  </si>
  <si>
    <t>ROYOLTS</t>
  </si>
  <si>
    <t xml:space="preserve">VALLET </t>
  </si>
  <si>
    <t xml:space="preserve">SEGURANÇA </t>
  </si>
  <si>
    <t xml:space="preserve">AVARIAS B </t>
  </si>
  <si>
    <t xml:space="preserve">STAFF </t>
  </si>
  <si>
    <t xml:space="preserve">FORNECEDOR </t>
  </si>
  <si>
    <t>CONTRATO L L</t>
  </si>
  <si>
    <t xml:space="preserve">ADTV VALLET </t>
  </si>
  <si>
    <t>TOTAL BAR +ADTV</t>
  </si>
  <si>
    <t>INICIAL L+B</t>
  </si>
  <si>
    <t xml:space="preserve">ADTV CENTO DE DOCES </t>
  </si>
  <si>
    <t xml:space="preserve">TOTAL L + BAR </t>
  </si>
  <si>
    <t xml:space="preserve">CONVITE EXTRA </t>
  </si>
  <si>
    <t>PAX ENXTRA</t>
  </si>
  <si>
    <t xml:space="preserve">TOTAL CONVITE EXTRA </t>
  </si>
  <si>
    <t xml:space="preserve">GERADOR </t>
  </si>
  <si>
    <t>ADTV  ENERGETICO</t>
  </si>
  <si>
    <t>CINTHYA</t>
  </si>
  <si>
    <t xml:space="preserve">CASAMENTO CINTHYA E ANDRE </t>
  </si>
  <si>
    <t xml:space="preserve">R$ BAR </t>
  </si>
  <si>
    <t xml:space="preserve">R$ BUFFET </t>
  </si>
  <si>
    <t xml:space="preserve"> </t>
  </si>
  <si>
    <t>ADTV REC/SEG</t>
  </si>
  <si>
    <t>ADTV LANCHE MADR</t>
  </si>
  <si>
    <t xml:space="preserve">EVENTO </t>
  </si>
  <si>
    <t xml:space="preserve">CADEIRAS </t>
  </si>
  <si>
    <t xml:space="preserve">CUSTO BAR </t>
  </si>
  <si>
    <t>C.A</t>
  </si>
  <si>
    <t>C.A BAR</t>
  </si>
  <si>
    <t>DESPESA OCH</t>
  </si>
  <si>
    <t>GELO</t>
  </si>
  <si>
    <t>STAFF BAR</t>
  </si>
  <si>
    <t xml:space="preserve">TOTAL </t>
  </si>
  <si>
    <t>JANTAR</t>
  </si>
  <si>
    <t>BAILE</t>
  </si>
  <si>
    <t xml:space="preserve">BAILE DTO </t>
  </si>
  <si>
    <t>GUILHERME FERREIRA</t>
  </si>
  <si>
    <t>PAX TOTAL EVENTO</t>
  </si>
  <si>
    <t>THE NEXT CHEFF</t>
  </si>
  <si>
    <t>BAILE POLYNDIA</t>
  </si>
  <si>
    <t>BV OCH</t>
  </si>
  <si>
    <t>COFFE GIOVANNA</t>
  </si>
  <si>
    <t xml:space="preserve">PLANILHA CONSUMAÇÃO SOFT </t>
  </si>
  <si>
    <t>PLANILHA CONSUMAÇÃO DRINKS</t>
  </si>
  <si>
    <t>B. Drinks INKS</t>
  </si>
  <si>
    <t>n°</t>
  </si>
  <si>
    <t>BOTICARIO</t>
  </si>
  <si>
    <t>DIREITO UNICURITIBA</t>
  </si>
  <si>
    <t xml:space="preserve">PALESTRA SEC </t>
  </si>
  <si>
    <t xml:space="preserve">party fair </t>
  </si>
  <si>
    <t>och</t>
  </si>
  <si>
    <t xml:space="preserve">feira </t>
  </si>
  <si>
    <t>E. VENDAS</t>
  </si>
  <si>
    <t>SAYURI</t>
  </si>
  <si>
    <t>GABRIEL</t>
  </si>
  <si>
    <t>CAROL</t>
  </si>
  <si>
    <t>RENATA</t>
  </si>
  <si>
    <t xml:space="preserve">ANIVERSARIO GI </t>
  </si>
  <si>
    <t>ANIVERSARIO</t>
  </si>
  <si>
    <t>SAYURI/KATIA</t>
  </si>
  <si>
    <t>BRF</t>
  </si>
  <si>
    <t xml:space="preserve">CASAMENTO </t>
  </si>
  <si>
    <t>CASAMENTO BRUNA</t>
  </si>
  <si>
    <t>GLAMUR</t>
  </si>
  <si>
    <t xml:space="preserve">BALE POLYNDIA </t>
  </si>
  <si>
    <t>AOB CHAPA XV DE AGOSTO</t>
  </si>
  <si>
    <t>PALESTRA</t>
  </si>
  <si>
    <t>EXEMPLO</t>
  </si>
  <si>
    <t>COFFE PÍB FERNANDA LEAO</t>
  </si>
  <si>
    <t>COFFE BREAK</t>
  </si>
  <si>
    <t>A</t>
  </si>
  <si>
    <t xml:space="preserve">TOTAL +STAFF </t>
  </si>
  <si>
    <t xml:space="preserve">PRE EVENTO EUPHORIA </t>
  </si>
  <si>
    <t>PRE EVENTO</t>
  </si>
  <si>
    <t xml:space="preserve">SHOW KEANE </t>
  </si>
  <si>
    <t>RW7</t>
  </si>
  <si>
    <t>CAMARIM</t>
  </si>
  <si>
    <t>TEATRO POSITIVO</t>
  </si>
  <si>
    <t>CAMARIM MARTINHO DA VILA</t>
  </si>
  <si>
    <t>CAAMRIM</t>
  </si>
  <si>
    <t xml:space="preserve">ARRITIMIA CARDICA </t>
  </si>
  <si>
    <t>VIASFOT</t>
  </si>
  <si>
    <t>ADTV MATERIAL</t>
  </si>
  <si>
    <t xml:space="preserve">BAR + STAFF + B </t>
  </si>
  <si>
    <t>MIN INFANTIL PIB</t>
  </si>
  <si>
    <t xml:space="preserve">CASCAVEL </t>
  </si>
  <si>
    <t>CAMARIM CHITAÃOZZINHO</t>
  </si>
  <si>
    <t>ARENA DA BAIXADA</t>
  </si>
  <si>
    <t xml:space="preserve">PINYARDS </t>
  </si>
  <si>
    <t>GT</t>
  </si>
  <si>
    <t>BARIGUI</t>
  </si>
  <si>
    <t xml:space="preserve">ON THE ROAD  GUPY </t>
  </si>
  <si>
    <t>IMAP BARIGUI</t>
  </si>
  <si>
    <t>CASAMENTO WESLEY</t>
  </si>
  <si>
    <t>FORMO</t>
  </si>
  <si>
    <t>CASAMENTO</t>
  </si>
  <si>
    <t>LLAR EVENTOS</t>
  </si>
  <si>
    <t>PRE EVENTO FORMATTURE</t>
  </si>
  <si>
    <t>FORMATTURE</t>
  </si>
  <si>
    <t>PARAISO EVENTOS</t>
  </si>
  <si>
    <t>DIA DO MEDICO NSGH</t>
  </si>
  <si>
    <t>NSG</t>
  </si>
  <si>
    <t>FAZZENDA CHURRASCADA</t>
  </si>
  <si>
    <t xml:space="preserve">SYM IMOVEINS </t>
  </si>
  <si>
    <t xml:space="preserve">RENATA </t>
  </si>
  <si>
    <t>JOY</t>
  </si>
  <si>
    <t>OU</t>
  </si>
  <si>
    <t>JOY VANGUARD PULSE</t>
  </si>
  <si>
    <t>ADTV DECOR</t>
  </si>
  <si>
    <t>SHARBO</t>
  </si>
  <si>
    <t>UMA VOZ A MESA PIB</t>
  </si>
  <si>
    <t>ALIMENTAÇÃO EXTERNA</t>
  </si>
  <si>
    <t>TABOA DE FRIOS</t>
  </si>
  <si>
    <t xml:space="preserve">GT CORRETORES </t>
  </si>
  <si>
    <t>GT ARQUITETOS</t>
  </si>
  <si>
    <t>GTR</t>
  </si>
  <si>
    <t xml:space="preserve">DECORADO OAS </t>
  </si>
  <si>
    <t xml:space="preserve">CHACARA BERTE </t>
  </si>
  <si>
    <t xml:space="preserve">BACILA </t>
  </si>
  <si>
    <t xml:space="preserve">BACCILA </t>
  </si>
  <si>
    <t xml:space="preserve">COFFE PIB SUELEN </t>
  </si>
  <si>
    <t>COFFE BREAK PIB</t>
  </si>
  <si>
    <t xml:space="preserve">HAPPY HOUR SAFEGOLD </t>
  </si>
  <si>
    <t xml:space="preserve">SAFEGOLD </t>
  </si>
  <si>
    <t>HAPPY HOUR</t>
  </si>
  <si>
    <t xml:space="preserve">FESTA JUNINA SAFEGOLD </t>
  </si>
  <si>
    <t>FESTA JUNINA</t>
  </si>
  <si>
    <t xml:space="preserve">COFFE BREAK PIB </t>
  </si>
  <si>
    <t>15/08/22024</t>
  </si>
  <si>
    <t>ALMOÇO JOANA DURIL</t>
  </si>
  <si>
    <t>FRANCISCO JUGLAIS</t>
  </si>
  <si>
    <t>ANIVERSARIO KRAUSE</t>
  </si>
  <si>
    <t>AANIVERSARIO</t>
  </si>
  <si>
    <t>SALÃO DE FESTAS</t>
  </si>
  <si>
    <t>ALL BATEL GT</t>
  </si>
  <si>
    <t>JOY LIVE</t>
  </si>
  <si>
    <t>NO EMPRENDIEMNTO</t>
  </si>
  <si>
    <t xml:space="preserve"> PRE EVENTO</t>
  </si>
  <si>
    <t>GABREIEL</t>
  </si>
  <si>
    <t>ENTREGA GT HUMAN</t>
  </si>
  <si>
    <t>NO EMPREEENDIMENTO</t>
  </si>
  <si>
    <t xml:space="preserve">STAFF/ LOG </t>
  </si>
  <si>
    <t xml:space="preserve">PIB DAS </t>
  </si>
  <si>
    <t>COFFE RBEAK GIOVANNA</t>
  </si>
  <si>
    <t>REGINA VOGUE</t>
  </si>
  <si>
    <t>A464</t>
  </si>
  <si>
    <t xml:space="preserve">ORGANNACT </t>
  </si>
  <si>
    <t>ORGANACT</t>
  </si>
  <si>
    <t xml:space="preserve">GABRIEL </t>
  </si>
  <si>
    <t xml:space="preserve">PAULO RIBAS JANTAR </t>
  </si>
  <si>
    <t>UROLOGIA</t>
  </si>
  <si>
    <t>SHOPPING NOVO BATEL</t>
  </si>
  <si>
    <t>STABND GLAUCOMA</t>
  </si>
  <si>
    <t>VIASOFT</t>
  </si>
  <si>
    <t xml:space="preserve">VIASOFT </t>
  </si>
  <si>
    <t xml:space="preserve">GT BUILDING </t>
  </si>
  <si>
    <t xml:space="preserve">ORA CURITIBA </t>
  </si>
  <si>
    <t>ALMOÇO ANIVERSARIO</t>
  </si>
  <si>
    <t>CHACAR ZONITA</t>
  </si>
  <si>
    <t xml:space="preserve">ASSINATRA CONTRATOS GT </t>
  </si>
  <si>
    <t>COFFE LAGE TURIN</t>
  </si>
  <si>
    <t xml:space="preserve">FESTA JUNINA EUPHO </t>
  </si>
  <si>
    <t xml:space="preserve">BRUNCJH DENISE </t>
  </si>
  <si>
    <t>BRUNCH</t>
  </si>
  <si>
    <t>RESIDENCIA</t>
  </si>
  <si>
    <t>JANTAR BACILA</t>
  </si>
  <si>
    <t>SHARBO MARTINS CASA GRANDE</t>
  </si>
  <si>
    <t>ZANLORENZI</t>
  </si>
  <si>
    <t>PIB ORE JOVENS</t>
  </si>
  <si>
    <t xml:space="preserve">COFFE COLABORADORES </t>
  </si>
  <si>
    <t xml:space="preserve">ANIVERSARIO ALEX </t>
  </si>
  <si>
    <t>1 ANO GARNDS BESSA</t>
  </si>
  <si>
    <t>SPOT 505</t>
  </si>
  <si>
    <t>IMPACTO</t>
  </si>
  <si>
    <t xml:space="preserve">INAUGURAÇÃO CENTRO PIB </t>
  </si>
  <si>
    <t xml:space="preserve">SWEENWY TODDY </t>
  </si>
  <si>
    <t>CASA CLIENTE CATIA ALVES</t>
  </si>
  <si>
    <t xml:space="preserve">TITA WENER </t>
  </si>
  <si>
    <t>CAFÉ CO NEGOCIO</t>
  </si>
  <si>
    <t xml:space="preserve">BDLEATHERS </t>
  </si>
  <si>
    <t>CAMARIM PROFESSORES</t>
  </si>
  <si>
    <t xml:space="preserve">COFFE BREAK VANGUARD </t>
  </si>
  <si>
    <t xml:space="preserve"> BAILE MED UNC </t>
  </si>
  <si>
    <t xml:space="preserve">CLUBE RIOGANDENSE </t>
  </si>
  <si>
    <t>MADAH</t>
  </si>
  <si>
    <t xml:space="preserve">TITTA WENER ALIMENTAÇÃO </t>
  </si>
  <si>
    <t xml:space="preserve">VANGUARD </t>
  </si>
  <si>
    <t>JOY LAB</t>
  </si>
  <si>
    <t>PRE EVENTO YZ</t>
  </si>
  <si>
    <t xml:space="preserve">MULTIPLICAÇÃO CELULA ALTOS </t>
  </si>
  <si>
    <t>18/03/204</t>
  </si>
  <si>
    <t>CULT ESPETACULOS</t>
  </si>
  <si>
    <t xml:space="preserve">PRE EVENTO PATO BRANCO </t>
  </si>
  <si>
    <t>PATO BRANCO</t>
  </si>
  <si>
    <t>PEDREIRA PAULO LEMINSKI</t>
  </si>
  <si>
    <t xml:space="preserve">COQUITEL UNIMED </t>
  </si>
  <si>
    <t>UNIMED</t>
  </si>
  <si>
    <t>COQUITEL</t>
  </si>
  <si>
    <t>ANIVERSARIO IRENO JUNIOR</t>
  </si>
  <si>
    <t xml:space="preserve">500 DIAS </t>
  </si>
  <si>
    <t>BRUNCH CAMILA</t>
  </si>
  <si>
    <t>CCBV</t>
  </si>
  <si>
    <t>INSTITUTO CURITIBA E TURISMO</t>
  </si>
  <si>
    <t>MON</t>
  </si>
  <si>
    <t>BAILE MED PUC 80</t>
  </si>
  <si>
    <t>LUCILA JANTAR</t>
  </si>
  <si>
    <t>MED FEMPAR 63</t>
  </si>
  <si>
    <t>MED UFPR 2023</t>
  </si>
  <si>
    <t xml:space="preserve">HARAS ADAGIO </t>
  </si>
  <si>
    <t xml:space="preserve">MED MACKENZIE 64 </t>
  </si>
  <si>
    <t>ODONTO UEPG</t>
  </si>
  <si>
    <t>CLUBE VERDE</t>
  </si>
  <si>
    <t xml:space="preserve">MED PUC 81 </t>
  </si>
  <si>
    <t xml:space="preserve">EVENTO GUTO </t>
  </si>
  <si>
    <t>EXPOTRADE</t>
  </si>
  <si>
    <t xml:space="preserve">CAMARINS </t>
  </si>
  <si>
    <t>01/06/20254</t>
  </si>
  <si>
    <t>JANTAR NOIVADO MARIA E VITOR</t>
  </si>
  <si>
    <t xml:space="preserve">SALÃO DE FESTAS </t>
  </si>
  <si>
    <t>BAILE CEP IMPACTO</t>
  </si>
  <si>
    <t>CURITIBANO</t>
  </si>
  <si>
    <t xml:space="preserve">MED FPPT9 </t>
  </si>
  <si>
    <t>BAILE DE DTO UFPR</t>
  </si>
  <si>
    <t>CASAMENRO NICOLE E LUIZ</t>
  </si>
  <si>
    <t>BELVEDERE</t>
  </si>
  <si>
    <t>CENCOFI</t>
  </si>
  <si>
    <t>INTERMED 2024</t>
  </si>
  <si>
    <t>INSTITUTO TURISMO</t>
  </si>
  <si>
    <t xml:space="preserve">BARRONE </t>
  </si>
  <si>
    <t>OCH0</t>
  </si>
  <si>
    <t>DIEGO</t>
  </si>
  <si>
    <t>MED UFPR 18.2</t>
  </si>
  <si>
    <t>PIB MIN ON</t>
  </si>
  <si>
    <t>VALE DO SOL</t>
  </si>
  <si>
    <t>ROTTAS 2024</t>
  </si>
  <si>
    <t>ROTTAS</t>
  </si>
  <si>
    <t>PIEMONT BARTINIK</t>
  </si>
  <si>
    <t>PIEMONT</t>
  </si>
  <si>
    <t xml:space="preserve">CONFERENCIA MULHER VIVA </t>
  </si>
  <si>
    <t>CONFERENCIA</t>
  </si>
  <si>
    <t xml:space="preserve">HIPERFARMA </t>
  </si>
  <si>
    <t xml:space="preserve">BOM JESUS </t>
  </si>
  <si>
    <t xml:space="preserve">WE  MULTIPLI </t>
  </si>
  <si>
    <t xml:space="preserve">SAYURI </t>
  </si>
  <si>
    <t>BARIGUI VEICULOS</t>
  </si>
  <si>
    <t xml:space="preserve">BAR DE DRIGADEIROS MEDIANEIRA </t>
  </si>
  <si>
    <t xml:space="preserve">POLYNDIA </t>
  </si>
  <si>
    <t>BAR DE BRIG</t>
  </si>
  <si>
    <t xml:space="preserve">DON ANTONIO </t>
  </si>
  <si>
    <t>TERCEIRÃO MARISTA</t>
  </si>
  <si>
    <t>RAFAEL</t>
  </si>
  <si>
    <t>CURITIBAO</t>
  </si>
  <si>
    <t>DIRECT 2024</t>
  </si>
  <si>
    <t>DIRECT</t>
  </si>
  <si>
    <t>BAILE BOM JESUS</t>
  </si>
  <si>
    <t>10 FORMATURAS</t>
  </si>
  <si>
    <t>SERVOPA</t>
  </si>
  <si>
    <t>COLEGIO ERMIRIO</t>
  </si>
  <si>
    <t>MAXIMUS</t>
  </si>
  <si>
    <t xml:space="preserve">ANGELO TREVISAN </t>
  </si>
  <si>
    <t>SESI 2024</t>
  </si>
  <si>
    <t>FURQUIM</t>
  </si>
  <si>
    <t xml:space="preserve">MEDIANEIRA </t>
  </si>
  <si>
    <t>MED UNIVILLE</t>
  </si>
  <si>
    <t>JOINVILLE GARDEM</t>
  </si>
  <si>
    <t>MARISTA PARANAENSE</t>
  </si>
  <si>
    <t>10 FORMATRAS</t>
  </si>
  <si>
    <t>ATILIO MAXIMUS</t>
  </si>
  <si>
    <t>FISICULTURISMO</t>
  </si>
  <si>
    <t>COPA SUL</t>
  </si>
  <si>
    <t xml:space="preserve">BANCO DO BRASIL </t>
  </si>
  <si>
    <t>BANCO DO BRASIL</t>
  </si>
  <si>
    <t>EXXON</t>
  </si>
  <si>
    <t>OPERA DE ARAME</t>
  </si>
  <si>
    <t xml:space="preserve">LOCAÇÃO LUSTRES </t>
  </si>
  <si>
    <t>ALUGEL PRODUTOS</t>
  </si>
  <si>
    <t xml:space="preserve">LOC </t>
  </si>
  <si>
    <t>MARCELINO CHAMPANHAR</t>
  </si>
  <si>
    <t>CAFÉ COLONIAL DIVA</t>
  </si>
  <si>
    <t>PIB LEGENDARIOS  ESPOSA</t>
  </si>
  <si>
    <t>POTENCIAL</t>
  </si>
  <si>
    <t>ANIVERSARIO CASSIANO</t>
  </si>
  <si>
    <t xml:space="preserve">CASA </t>
  </si>
  <si>
    <t xml:space="preserve">FLUXO EVENTOS / ACERTO COM BUFFET </t>
  </si>
  <si>
    <t>EVENTOS L+B</t>
  </si>
  <si>
    <t>EVENTO</t>
  </si>
  <si>
    <t>N°</t>
  </si>
  <si>
    <t>STAFF/LOG</t>
  </si>
  <si>
    <t xml:space="preserve">PAX </t>
  </si>
  <si>
    <t xml:space="preserve">R$ PAX </t>
  </si>
  <si>
    <t>TOTAL</t>
  </si>
  <si>
    <t>Bv</t>
  </si>
  <si>
    <t>ROYLLTES 20%</t>
  </si>
  <si>
    <t xml:space="preserve">R$ A PAGAR </t>
  </si>
  <si>
    <t xml:space="preserve">LEGENDARIOS </t>
  </si>
  <si>
    <t xml:space="preserve">CHAPA XV </t>
  </si>
  <si>
    <t>HIPERFARMA</t>
  </si>
  <si>
    <t xml:space="preserve">valor do contrato serviço buffet e quantidade final de pessoas </t>
  </si>
  <si>
    <t xml:space="preserve">valor bv sobre o valor colocado aqui </t>
  </si>
  <si>
    <t>50 ANOS GISELE</t>
  </si>
  <si>
    <t xml:space="preserve">PIB LEGENDARIOS </t>
  </si>
  <si>
    <t>B</t>
  </si>
  <si>
    <t xml:space="preserve">MARCELINO CHAMPANHAR </t>
  </si>
  <si>
    <t xml:space="preserve">EVENTO POLITICO </t>
  </si>
  <si>
    <t xml:space="preserve">POSITIVO TEMPO DE CAS </t>
  </si>
  <si>
    <t xml:space="preserve">SINDICATO DOS BANCARIOS </t>
  </si>
  <si>
    <t xml:space="preserve">POLYNDIA  BAILE POLYNDIA </t>
  </si>
  <si>
    <t xml:space="preserve">BAILE AMANDA ROSA </t>
  </si>
  <si>
    <t>SICOOB</t>
  </si>
  <si>
    <t xml:space="preserve">AGRONOMIA FEDERAL </t>
  </si>
  <si>
    <t xml:space="preserve">JANTAR JUIANA 15 ANOS </t>
  </si>
  <si>
    <t>JUBILEU MEDICINA 24.02</t>
  </si>
  <si>
    <t>BAILE DTO UNICURITIBA</t>
  </si>
  <si>
    <t>DTO UNISANTACRUZ</t>
  </si>
  <si>
    <t xml:space="preserve">BAILE EUPHORIA BIOMED+ ENFERMAGEM </t>
  </si>
  <si>
    <t>CASAMENTO BRUNA KUSTER</t>
  </si>
  <si>
    <t>BAILE DTO PUC YZ</t>
  </si>
  <si>
    <t>ODONTO PUC YZ</t>
  </si>
  <si>
    <t>BAILE NVA ERA VARIAS TURMAS</t>
  </si>
  <si>
    <t>BAILE ARQUITETURA N.E</t>
  </si>
  <si>
    <t>NOVA ERA BIOMED + NUTRIÇÃO</t>
  </si>
  <si>
    <t>NOVA ERA DTO</t>
  </si>
  <si>
    <t xml:space="preserve">BAILE MED VET NOVA ERA </t>
  </si>
  <si>
    <t>MED VET TUIUTI</t>
  </si>
  <si>
    <t>BAILE ENFERMAGEM EUPHORIA</t>
  </si>
  <si>
    <t xml:space="preserve">LEGENDARIOS JANTAR </t>
  </si>
  <si>
    <t xml:space="preserve">COFFE ESPOSA DE LEGENDARIOS </t>
  </si>
  <si>
    <t xml:space="preserve">BAILE DE FORMATURA VARIAS N.E </t>
  </si>
  <si>
    <t>BAILE DE GALA ODONTO</t>
  </si>
  <si>
    <t>PONTA GROSSA</t>
  </si>
  <si>
    <t xml:space="preserve">ROTTAS </t>
  </si>
  <si>
    <t>AVARIAS L +B</t>
  </si>
  <si>
    <t>BODAS ALE AJ</t>
  </si>
  <si>
    <t>ORGANNACT</t>
  </si>
  <si>
    <t>CONFERENCIA MULHER VIVA</t>
  </si>
  <si>
    <t>ANGELO TREVISAN</t>
  </si>
  <si>
    <t>ERMIRIO</t>
  </si>
  <si>
    <t xml:space="preserve">DIRECT </t>
  </si>
  <si>
    <t xml:space="preserve">ENTRADA </t>
  </si>
  <si>
    <t>SAIDA</t>
  </si>
  <si>
    <t>LUCRO</t>
  </si>
  <si>
    <t>VALLET</t>
  </si>
  <si>
    <t>IMPOSTO+IPCA</t>
  </si>
  <si>
    <t xml:space="preserve"> ALIMENTAÇÃO</t>
  </si>
  <si>
    <t>BV</t>
  </si>
  <si>
    <t>SOFT+ DRINK</t>
  </si>
  <si>
    <t>STAFF B</t>
  </si>
  <si>
    <t>HEAD+STAFF L</t>
  </si>
  <si>
    <t>acerto rateio :</t>
  </si>
  <si>
    <t>total</t>
  </si>
  <si>
    <t>fev</t>
  </si>
  <si>
    <t>CONTAS DE RATEIO OPERA</t>
  </si>
  <si>
    <t>JANEIRO</t>
  </si>
  <si>
    <t>VALOR PAGO</t>
  </si>
  <si>
    <t>STATUS</t>
  </si>
  <si>
    <t>LA ORANA</t>
  </si>
  <si>
    <t>S</t>
  </si>
  <si>
    <t>(ADM) PAMELA SALARIO</t>
  </si>
  <si>
    <t>(COMERCIAL) CAROL SALARIO</t>
  </si>
  <si>
    <t>(COMERCIAL) DIEGO SALARIO</t>
  </si>
  <si>
    <t>(COMERCIAL BOB) SALARIO</t>
  </si>
  <si>
    <t>(COMERCIAL)RENATA  SALARIO</t>
  </si>
  <si>
    <t>(MARKETING ) SALARIO NANDA</t>
  </si>
  <si>
    <t>(DETETIZAÇÃO) BIOSSEG</t>
  </si>
  <si>
    <t>(INTERNET) LIGGA</t>
  </si>
  <si>
    <t>ÁGUA</t>
  </si>
  <si>
    <t>ENERGIA ELETRICA</t>
  </si>
  <si>
    <t>IMPRESSORA</t>
  </si>
  <si>
    <t>MATERIAIS DE ESCRITÓRIO</t>
  </si>
  <si>
    <t>AJUDA DE CUSTO OCUPAÇÃO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</si>
  <si>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</si>
  <si>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</si>
  <si>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</si>
  <si>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</si>
  <si>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</si>
  <si>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</si>
  <si>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</si>
  <si>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</si>
  <si>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</si>
  <si>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</si>
  <si>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</si>
  <si>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total </t>
  </si>
  <si>
    <t xml:space="preserve">acerto danffs emitidas cnpj status </t>
  </si>
  <si>
    <t>ANIVERSARIO FILHA AKLE AJ sem ctt</t>
  </si>
  <si>
    <t>QUANTIDADE DE CONTRATOS</t>
  </si>
  <si>
    <t>CONTRATOS FECHADOS</t>
  </si>
  <si>
    <t xml:space="preserve">META </t>
  </si>
  <si>
    <t>FALTA PARA ATINGIR</t>
  </si>
  <si>
    <t>LOCAÇÃO /N° CONTRATOS</t>
  </si>
  <si>
    <t xml:space="preserve">CERIMONIALISTAS EVENTO CORTESIA </t>
  </si>
  <si>
    <t>CONTRATOS CANCELADOS</t>
  </si>
  <si>
    <t xml:space="preserve">TOTAL RECEITA CTT  LOCAÇÃO </t>
  </si>
  <si>
    <t xml:space="preserve">TOTAL RECEITA CTT  B </t>
  </si>
  <si>
    <t xml:space="preserve">TOTAL MEDIO DE RECEITA L+B </t>
  </si>
  <si>
    <t xml:space="preserve">SEM CTT </t>
  </si>
  <si>
    <t>SAYURI/ GABRIEL</t>
  </si>
  <si>
    <t xml:space="preserve">ODONTO FAIT </t>
  </si>
  <si>
    <t>MED UFPR 18.1</t>
  </si>
  <si>
    <t>IMAX</t>
  </si>
  <si>
    <t xml:space="preserve">EBANX </t>
  </si>
  <si>
    <t>ACRIDAS BENEFICENTE</t>
  </si>
  <si>
    <t xml:space="preserve">GT PINYARDS </t>
  </si>
  <si>
    <t xml:space="preserve">FEIJOADA RENATA </t>
  </si>
  <si>
    <t>OPEN HOUSE MARTIM AFONSO</t>
  </si>
  <si>
    <t xml:space="preserve">PRE EVENTO UP </t>
  </si>
  <si>
    <t>EVENTO UT</t>
  </si>
  <si>
    <t>MEIO MEDICO UNIVILLE</t>
  </si>
  <si>
    <t xml:space="preserve">COFFE PIB </t>
  </si>
  <si>
    <t>PAULO FERNANDO SILVA</t>
  </si>
  <si>
    <t>pendencia financeira</t>
  </si>
  <si>
    <t>ok</t>
  </si>
  <si>
    <t xml:space="preserve">divergencia contrato </t>
  </si>
  <si>
    <t>ODONTO UNICURTIBA</t>
  </si>
  <si>
    <t>CONCEPT HALL</t>
  </si>
  <si>
    <t>GT QUIEJOS E VINHIOS</t>
  </si>
  <si>
    <t>06/12/22024</t>
  </si>
  <si>
    <t>PABILHÃO DAS ARTES POSITIVO</t>
  </si>
  <si>
    <t>COFFE PIB</t>
  </si>
  <si>
    <t>BAILE PONTA DA LAGOA</t>
  </si>
  <si>
    <t>PONTA DA LAGOA</t>
  </si>
  <si>
    <t>MED UNIVALES LAJEADO</t>
  </si>
  <si>
    <t xml:space="preserve">LAEJADO </t>
  </si>
  <si>
    <t xml:space="preserve">UEPG </t>
  </si>
  <si>
    <t xml:space="preserve">JOY TAMPLE </t>
  </si>
  <si>
    <t>LAGGUS</t>
  </si>
  <si>
    <t xml:space="preserve">PRE EVENTO </t>
  </si>
  <si>
    <t>PRE EVENTO PUC 86 +- ODONTO CESU +  FPP 14</t>
  </si>
  <si>
    <t xml:space="preserve">aniversario alice </t>
  </si>
  <si>
    <t>b</t>
  </si>
  <si>
    <t>mês</t>
  </si>
  <si>
    <t xml:space="preserve">c.a emitido </t>
  </si>
  <si>
    <t xml:space="preserve">n° nota </t>
  </si>
  <si>
    <t>serie</t>
  </si>
  <si>
    <t>situação</t>
  </si>
  <si>
    <t>cliente</t>
  </si>
  <si>
    <t xml:space="preserve">valor </t>
  </si>
  <si>
    <t xml:space="preserve">conta de receita </t>
  </si>
  <si>
    <t>valor sem imposto</t>
  </si>
  <si>
    <t>prova real do imposto valor ctt -0,87%</t>
  </si>
  <si>
    <t xml:space="preserve">valor de imposto </t>
  </si>
  <si>
    <t xml:space="preserve">resumo financeiro ctt </t>
  </si>
  <si>
    <t xml:space="preserve">total acerto entre contas </t>
  </si>
  <si>
    <t>status</t>
  </si>
  <si>
    <t>Emitida com Sucesso</t>
  </si>
  <si>
    <t>GUPYTECNOLOGIA EM RECRUTAMENTO LTDA</t>
  </si>
  <si>
    <t>l.a</t>
  </si>
  <si>
    <t>EXXONMOBIL</t>
  </si>
  <si>
    <t>GRAFICA E EDITORA POSIGRAF LTDA</t>
  </si>
  <si>
    <t>valor total 297.500,00 sem imposto</t>
  </si>
  <si>
    <t>POSITIVO EDUCACIONAL</t>
  </si>
  <si>
    <t>Falha ao Cancelar</t>
  </si>
  <si>
    <t>CELEPAR</t>
  </si>
  <si>
    <t>PLANILHA 2024</t>
  </si>
  <si>
    <t>data fatura</t>
  </si>
  <si>
    <t>fatura R$</t>
  </si>
  <si>
    <t>klw consumida fatura</t>
  </si>
  <si>
    <t>valor</t>
  </si>
  <si>
    <t>valor klw</t>
  </si>
  <si>
    <t xml:space="preserve">data da leitura ( B) </t>
  </si>
  <si>
    <t>klw inicial (b)</t>
  </si>
  <si>
    <t>klw final</t>
  </si>
  <si>
    <t xml:space="preserve">klw buffet </t>
  </si>
  <si>
    <t xml:space="preserve">klw och fixo </t>
  </si>
  <si>
    <t xml:space="preserve">valor klw buffet </t>
  </si>
  <si>
    <t>valor klw och</t>
  </si>
  <si>
    <t>prova real</t>
  </si>
  <si>
    <t>046325.28</t>
  </si>
  <si>
    <t xml:space="preserve">MEDIA DOS 7 MESES </t>
  </si>
  <si>
    <t xml:space="preserve">media /5 </t>
  </si>
  <si>
    <t xml:space="preserve">acerto copel, contas pagas pela status </t>
  </si>
  <si>
    <t>valor saque</t>
  </si>
  <si>
    <t xml:space="preserve">valor l.a deve a status </t>
  </si>
  <si>
    <t>13/13/2024</t>
  </si>
  <si>
    <t xml:space="preserve">acerto saques l.a x status </t>
  </si>
  <si>
    <t xml:space="preserve">total que l.a deve </t>
  </si>
  <si>
    <t>medianiera</t>
  </si>
  <si>
    <t>sesi</t>
  </si>
  <si>
    <t>santa maria</t>
  </si>
  <si>
    <t>direct</t>
  </si>
  <si>
    <t xml:space="preserve">status deve para l.a </t>
  </si>
  <si>
    <t xml:space="preserve"> l.a deve para status </t>
  </si>
  <si>
    <t>l.a deve para status</t>
  </si>
  <si>
    <t xml:space="preserve">l.a deve para status </t>
  </si>
  <si>
    <t xml:space="preserve">pagamento fornecedores </t>
  </si>
  <si>
    <t>BOM JESUS SEMINARIO 10 FORMATURAS</t>
  </si>
  <si>
    <t xml:space="preserve">BOM JESUS DIVINA  POLYNDIA </t>
  </si>
  <si>
    <t>JANTAR ACRIDAS BENEFICENTE</t>
  </si>
  <si>
    <t xml:space="preserve">CINEMARK  CORTESIA </t>
  </si>
  <si>
    <t xml:space="preserve">IMAX  CORTESIA </t>
  </si>
  <si>
    <t>CANCELADo</t>
  </si>
  <si>
    <t>resumo final acerto</t>
  </si>
  <si>
    <t xml:space="preserve">l.a deve </t>
  </si>
  <si>
    <t xml:space="preserve">status deve 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</si>
  <si>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</si>
  <si>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</si>
  <si>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</si>
  <si>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</si>
  <si>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</si>
  <si>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</si>
  <si>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</si>
  <si>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</si>
  <si>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</si>
  <si>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</si>
  <si>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</si>
  <si>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VALOR A SER PAGO</t>
  </si>
  <si>
    <t>QUAL EMPRESA DEVEM PAGAR</t>
  </si>
  <si>
    <t>ADM (SALARIO PAMELA)</t>
  </si>
  <si>
    <t>TOTAL UM PELO OUTRO</t>
  </si>
  <si>
    <t xml:space="preserve">STATUS DEVE </t>
  </si>
  <si>
    <t>AINDA FALTA ABATER NO RATEIO O VALOR DA SANEPAR</t>
  </si>
  <si>
    <t>PAGAMENTO DE STAFF</t>
  </si>
  <si>
    <t>Pagamento fornecedores</t>
  </si>
  <si>
    <t>copel</t>
  </si>
  <si>
    <t>saque pgto staff</t>
  </si>
  <si>
    <t>nf status fez pelo LA</t>
  </si>
  <si>
    <t>rateio</t>
  </si>
  <si>
    <t>valor do contrato liquido</t>
  </si>
  <si>
    <t>total devido</t>
  </si>
  <si>
    <t>sanepar</t>
  </si>
  <si>
    <t>total geral acerto  sem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</si>
</sst>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#,###,##0.00"/>
    <numFmt numFmtId="165" formatCode="_(&quot;R$ &quot;* #,##0.00_);_(&quot;R$ &quot;* \(#,##0.00\);_(&quot;R$ &quot;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21"/>
      <color rgb="FF333333"/>
      <name val="Arial"/>
      <family val="2"/>
    </font>
    <font>
      <sz val="10"/>
      <name val="Montserrat"/>
    </font>
    <font>
      <sz val="11"/>
      <color theme="1" tint="4.9989318521683403E-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0"/>
      <color rgb="FFFF0000"/>
      <name val="Montserrat"/>
    </font>
    <font>
      <sz val="11"/>
      <color rgb="FF00B05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11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3" borderId="0" xfId="0" applyFill="1"/>
    <xf numFmtId="0" fontId="3" fillId="11" borderId="0" xfId="0" applyFont="1" applyFill="1"/>
    <xf numFmtId="0" fontId="3" fillId="8" borderId="0" xfId="0" applyFont="1" applyFill="1"/>
    <xf numFmtId="0" fontId="3" fillId="6" borderId="0" xfId="0" applyFont="1" applyFill="1"/>
    <xf numFmtId="0" fontId="3" fillId="5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10" borderId="0" xfId="0" applyFont="1" applyFill="1"/>
    <xf numFmtId="0" fontId="3" fillId="7" borderId="0" xfId="0" applyFont="1" applyFill="1"/>
    <xf numFmtId="44" fontId="0" fillId="4" borderId="1" xfId="1" applyFont="1" applyFill="1" applyBorder="1"/>
    <xf numFmtId="44" fontId="2" fillId="9" borderId="4" xfId="1" applyFont="1" applyFill="1" applyBorder="1" applyAlignment="1">
      <alignment horizontal="center" vertical="center"/>
    </xf>
    <xf numFmtId="44" fontId="2" fillId="9" borderId="0" xfId="1" applyFont="1" applyFill="1" applyBorder="1" applyAlignment="1">
      <alignment horizontal="center" vertical="center"/>
    </xf>
    <xf numFmtId="44" fontId="0" fillId="3" borderId="1" xfId="1" applyFont="1" applyFill="1" applyBorder="1"/>
    <xf numFmtId="44" fontId="0" fillId="5" borderId="1" xfId="1" applyFont="1" applyFill="1" applyBorder="1"/>
    <xf numFmtId="44" fontId="0" fillId="5" borderId="1" xfId="0" applyNumberFormat="1" applyFill="1" applyBorder="1"/>
    <xf numFmtId="44" fontId="0" fillId="3" borderId="1" xfId="0" applyNumberFormat="1" applyFill="1" applyBorder="1"/>
    <xf numFmtId="0" fontId="0" fillId="3" borderId="1" xfId="1" applyNumberFormat="1" applyFont="1" applyFill="1" applyBorder="1"/>
    <xf numFmtId="0" fontId="0" fillId="3" borderId="1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44" fontId="0" fillId="3" borderId="3" xfId="1" applyFont="1" applyFill="1" applyBorder="1"/>
    <xf numFmtId="0" fontId="0" fillId="3" borderId="3" xfId="0" applyFill="1" applyBorder="1"/>
    <xf numFmtId="0" fontId="0" fillId="0" borderId="1" xfId="0" applyBorder="1"/>
    <xf numFmtId="44" fontId="6" fillId="3" borderId="1" xfId="1" applyFont="1" applyFill="1" applyBorder="1" applyAlignment="1">
      <alignment horizontal="center"/>
    </xf>
    <xf numFmtId="0" fontId="0" fillId="4" borderId="1" xfId="0" applyFill="1" applyBorder="1"/>
    <xf numFmtId="44" fontId="0" fillId="4" borderId="1" xfId="0" applyNumberFormat="1" applyFill="1" applyBorder="1"/>
    <xf numFmtId="44" fontId="0" fillId="4" borderId="3" xfId="1" applyFont="1" applyFill="1" applyBorder="1"/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0" fillId="4" borderId="3" xfId="0" applyFill="1" applyBorder="1"/>
    <xf numFmtId="44" fontId="0" fillId="5" borderId="3" xfId="0" applyNumberFormat="1" applyFill="1" applyBorder="1"/>
    <xf numFmtId="0" fontId="0" fillId="12" borderId="1" xfId="0" applyFill="1" applyBorder="1"/>
    <xf numFmtId="44" fontId="0" fillId="13" borderId="1" xfId="0" applyNumberFormat="1" applyFill="1" applyBorder="1"/>
    <xf numFmtId="44" fontId="0" fillId="13" borderId="3" xfId="0" applyNumberFormat="1" applyFill="1" applyBorder="1"/>
    <xf numFmtId="0" fontId="0" fillId="13" borderId="1" xfId="0" applyFill="1" applyBorder="1"/>
    <xf numFmtId="44" fontId="0" fillId="12" borderId="1" xfId="1" applyFont="1" applyFill="1" applyBorder="1"/>
    <xf numFmtId="44" fontId="0" fillId="12" borderId="3" xfId="1" applyFont="1" applyFill="1" applyBorder="1"/>
    <xf numFmtId="44" fontId="0" fillId="13" borderId="1" xfId="1" applyFont="1" applyFill="1" applyBorder="1"/>
    <xf numFmtId="44" fontId="0" fillId="13" borderId="3" xfId="1" applyFont="1" applyFill="1" applyBorder="1"/>
    <xf numFmtId="44" fontId="0" fillId="5" borderId="3" xfId="1" applyFont="1" applyFill="1" applyBorder="1"/>
    <xf numFmtId="0" fontId="0" fillId="13" borderId="3" xfId="0" applyFill="1" applyBorder="1"/>
    <xf numFmtId="0" fontId="4" fillId="3" borderId="1" xfId="0" applyFont="1" applyFill="1" applyBorder="1"/>
    <xf numFmtId="44" fontId="4" fillId="3" borderId="1" xfId="1" applyFont="1" applyFill="1" applyBorder="1"/>
    <xf numFmtId="44" fontId="4" fillId="5" borderId="1" xfId="1" applyFont="1" applyFill="1" applyBorder="1"/>
    <xf numFmtId="44" fontId="4" fillId="13" borderId="1" xfId="1" applyFont="1" applyFill="1" applyBorder="1"/>
    <xf numFmtId="0" fontId="4" fillId="4" borderId="1" xfId="0" applyFont="1" applyFill="1" applyBorder="1"/>
    <xf numFmtId="44" fontId="4" fillId="5" borderId="1" xfId="0" applyNumberFormat="1" applyFont="1" applyFill="1" applyBorder="1"/>
    <xf numFmtId="44" fontId="4" fillId="3" borderId="1" xfId="0" applyNumberFormat="1" applyFont="1" applyFill="1" applyBorder="1"/>
    <xf numFmtId="0" fontId="4" fillId="0" borderId="0" xfId="0" applyFont="1"/>
    <xf numFmtId="0" fontId="0" fillId="0" borderId="3" xfId="0" applyBorder="1"/>
    <xf numFmtId="0" fontId="2" fillId="2" borderId="3" xfId="0" applyFont="1" applyFill="1" applyBorder="1" applyAlignment="1">
      <alignment horizontal="center" vertical="center"/>
    </xf>
    <xf numFmtId="44" fontId="0" fillId="0" borderId="1" xfId="1" applyFont="1" applyBorder="1"/>
    <xf numFmtId="0" fontId="4" fillId="0" borderId="1" xfId="0" applyFont="1" applyBorder="1"/>
    <xf numFmtId="0" fontId="5" fillId="0" borderId="1" xfId="0" applyFont="1" applyBorder="1"/>
    <xf numFmtId="44" fontId="5" fillId="5" borderId="1" xfId="0" applyNumberFormat="1" applyFont="1" applyFill="1" applyBorder="1"/>
    <xf numFmtId="44" fontId="4" fillId="0" borderId="1" xfId="1" applyFont="1" applyBorder="1"/>
    <xf numFmtId="44" fontId="5" fillId="0" borderId="1" xfId="1" applyFont="1" applyBorder="1"/>
    <xf numFmtId="0" fontId="0" fillId="0" borderId="5" xfId="0" applyBorder="1"/>
    <xf numFmtId="44" fontId="5" fillId="3" borderId="1" xfId="1" applyFont="1" applyFill="1" applyBorder="1"/>
    <xf numFmtId="44" fontId="5" fillId="5" borderId="1" xfId="1" applyFont="1" applyFill="1" applyBorder="1"/>
    <xf numFmtId="44" fontId="5" fillId="13" borderId="1" xfId="1" applyFont="1" applyFill="1" applyBorder="1"/>
    <xf numFmtId="0" fontId="5" fillId="0" borderId="0" xfId="0" applyFont="1"/>
    <xf numFmtId="0" fontId="0" fillId="4" borderId="0" xfId="0" applyFill="1"/>
    <xf numFmtId="44" fontId="0" fillId="0" borderId="1" xfId="0" applyNumberFormat="1" applyBorder="1"/>
    <xf numFmtId="0" fontId="4" fillId="3" borderId="0" xfId="0" applyFont="1" applyFill="1"/>
    <xf numFmtId="0" fontId="0" fillId="3" borderId="5" xfId="0" applyFill="1" applyBorder="1"/>
    <xf numFmtId="44" fontId="0" fillId="13" borderId="6" xfId="0" applyNumberFormat="1" applyFill="1" applyBorder="1"/>
    <xf numFmtId="0" fontId="0" fillId="0" borderId="7" xfId="0" applyBorder="1"/>
    <xf numFmtId="44" fontId="0" fillId="0" borderId="0" xfId="0" applyNumberFormat="1"/>
    <xf numFmtId="0" fontId="3" fillId="3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4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9" fillId="4" borderId="0" xfId="0" applyFont="1" applyFill="1"/>
    <xf numFmtId="0" fontId="5" fillId="3" borderId="0" xfId="0" applyFont="1" applyFill="1"/>
    <xf numFmtId="0" fontId="5" fillId="3" borderId="1" xfId="0" applyFont="1" applyFill="1" applyBorder="1"/>
    <xf numFmtId="0" fontId="5" fillId="4" borderId="1" xfId="0" applyFont="1" applyFill="1" applyBorder="1"/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44" fontId="0" fillId="14" borderId="1" xfId="1" applyFont="1" applyFill="1" applyBorder="1" applyAlignment="1">
      <alignment horizontal="center" vertical="center"/>
    </xf>
    <xf numFmtId="44" fontId="0" fillId="14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0" fillId="5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4" fontId="0" fillId="11" borderId="1" xfId="1" applyFont="1" applyFill="1" applyBorder="1" applyAlignment="1">
      <alignment horizontal="center" vertical="center"/>
    </xf>
    <xf numFmtId="44" fontId="0" fillId="11" borderId="1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4" fontId="0" fillId="10" borderId="1" xfId="1" applyFont="1" applyFill="1" applyBorder="1" applyAlignment="1">
      <alignment horizontal="center" vertical="center"/>
    </xf>
    <xf numFmtId="44" fontId="0" fillId="10" borderId="1" xfId="0" applyNumberFormat="1" applyFill="1" applyBorder="1" applyAlignment="1">
      <alignment horizontal="center" vertical="center"/>
    </xf>
    <xf numFmtId="44" fontId="10" fillId="0" borderId="0" xfId="1" applyFont="1"/>
    <xf numFmtId="44" fontId="5" fillId="13" borderId="1" xfId="0" applyNumberFormat="1" applyFont="1" applyFill="1" applyBorder="1"/>
    <xf numFmtId="14" fontId="0" fillId="0" borderId="0" xfId="0" applyNumberFormat="1"/>
    <xf numFmtId="0" fontId="0" fillId="0" borderId="11" xfId="0" applyBorder="1"/>
    <xf numFmtId="0" fontId="0" fillId="0" borderId="8" xfId="0" applyBorder="1"/>
    <xf numFmtId="44" fontId="0" fillId="0" borderId="9" xfId="0" applyNumberFormat="1" applyBorder="1"/>
    <xf numFmtId="0" fontId="0" fillId="0" borderId="9" xfId="0" applyBorder="1"/>
    <xf numFmtId="0" fontId="0" fillId="0" borderId="12" xfId="0" applyBorder="1"/>
    <xf numFmtId="44" fontId="0" fillId="0" borderId="13" xfId="0" applyNumberFormat="1" applyBorder="1"/>
    <xf numFmtId="0" fontId="0" fillId="0" borderId="13" xfId="0" applyBorder="1"/>
    <xf numFmtId="0" fontId="0" fillId="11" borderId="10" xfId="0" applyFill="1" applyBorder="1"/>
    <xf numFmtId="14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44" fontId="0" fillId="16" borderId="1" xfId="1" applyFont="1" applyFill="1" applyBorder="1" applyAlignment="1">
      <alignment horizontal="center" vertical="center"/>
    </xf>
    <xf numFmtId="44" fontId="0" fillId="16" borderId="1" xfId="0" applyNumberFormat="1" applyFill="1" applyBorder="1" applyAlignment="1">
      <alignment horizontal="center" vertical="center"/>
    </xf>
    <xf numFmtId="44" fontId="0" fillId="12" borderId="1" xfId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44" fontId="0" fillId="0" borderId="5" xfId="1" applyFont="1" applyFill="1" applyBorder="1"/>
    <xf numFmtId="44" fontId="0" fillId="0" borderId="1" xfId="1" applyFont="1" applyFill="1" applyBorder="1"/>
    <xf numFmtId="44" fontId="0" fillId="0" borderId="1" xfId="1" applyFont="1" applyFill="1" applyBorder="1" applyAlignment="1">
      <alignment horizontal="center" vertical="center"/>
    </xf>
    <xf numFmtId="0" fontId="0" fillId="0" borderId="10" xfId="0" applyBorder="1"/>
    <xf numFmtId="44" fontId="0" fillId="0" borderId="11" xfId="0" applyNumberFormat="1" applyBorder="1"/>
    <xf numFmtId="0" fontId="0" fillId="11" borderId="12" xfId="0" applyFill="1" applyBorder="1"/>
    <xf numFmtId="0" fontId="0" fillId="11" borderId="8" xfId="0" applyFill="1" applyBorder="1"/>
    <xf numFmtId="0" fontId="2" fillId="3" borderId="3" xfId="0" applyFont="1" applyFill="1" applyBorder="1" applyAlignment="1">
      <alignment horizontal="center" vertical="center"/>
    </xf>
    <xf numFmtId="14" fontId="0" fillId="6" borderId="1" xfId="0" applyNumberFormat="1" applyFill="1" applyBorder="1"/>
    <xf numFmtId="0" fontId="0" fillId="6" borderId="1" xfId="0" applyFill="1" applyBorder="1"/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4" fontId="4" fillId="3" borderId="1" xfId="0" applyNumberFormat="1" applyFont="1" applyFill="1" applyBorder="1"/>
    <xf numFmtId="14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4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0" borderId="15" xfId="0" applyBorder="1"/>
    <xf numFmtId="14" fontId="14" fillId="6" borderId="1" xfId="0" applyNumberFormat="1" applyFont="1" applyFill="1" applyBorder="1"/>
    <xf numFmtId="0" fontId="14" fillId="6" borderId="1" xfId="0" applyFont="1" applyFill="1" applyBorder="1"/>
    <xf numFmtId="0" fontId="0" fillId="0" borderId="1" xfId="1" applyNumberFormat="1" applyFont="1" applyBorder="1"/>
    <xf numFmtId="14" fontId="12" fillId="6" borderId="1" xfId="0" applyNumberFormat="1" applyFont="1" applyFill="1" applyBorder="1" applyAlignment="1">
      <alignment horizontal="center" vertical="center"/>
    </xf>
    <xf numFmtId="0" fontId="4" fillId="4" borderId="0" xfId="0" applyFont="1" applyFill="1"/>
    <xf numFmtId="14" fontId="4" fillId="6" borderId="1" xfId="0" applyNumberFormat="1" applyFont="1" applyFill="1" applyBorder="1"/>
    <xf numFmtId="0" fontId="4" fillId="6" borderId="1" xfId="0" applyFont="1" applyFill="1" applyBorder="1"/>
    <xf numFmtId="14" fontId="5" fillId="4" borderId="1" xfId="0" applyNumberFormat="1" applyFont="1" applyFill="1" applyBorder="1"/>
    <xf numFmtId="14" fontId="4" fillId="4" borderId="1" xfId="0" applyNumberFormat="1" applyFont="1" applyFill="1" applyBorder="1"/>
    <xf numFmtId="0" fontId="0" fillId="7" borderId="1" xfId="0" applyFill="1" applyBorder="1"/>
    <xf numFmtId="0" fontId="9" fillId="15" borderId="16" xfId="0" applyFont="1" applyFill="1" applyBorder="1"/>
    <xf numFmtId="0" fontId="0" fillId="15" borderId="17" xfId="0" applyFill="1" applyBorder="1"/>
    <xf numFmtId="0" fontId="0" fillId="15" borderId="18" xfId="0" applyFill="1" applyBorder="1"/>
    <xf numFmtId="0" fontId="0" fillId="15" borderId="11" xfId="0" applyFill="1" applyBorder="1"/>
    <xf numFmtId="0" fontId="0" fillId="15" borderId="19" xfId="0" applyFill="1" applyBorder="1"/>
    <xf numFmtId="44" fontId="0" fillId="15" borderId="1" xfId="1" applyFont="1" applyFill="1" applyBorder="1"/>
    <xf numFmtId="0" fontId="0" fillId="15" borderId="0" xfId="0" applyFill="1"/>
    <xf numFmtId="0" fontId="0" fillId="15" borderId="9" xfId="0" applyFill="1" applyBorder="1"/>
    <xf numFmtId="0" fontId="0" fillId="15" borderId="1" xfId="0" applyFill="1" applyBorder="1"/>
    <xf numFmtId="0" fontId="9" fillId="15" borderId="19" xfId="0" applyFont="1" applyFill="1" applyBorder="1"/>
    <xf numFmtId="0" fontId="0" fillId="15" borderId="8" xfId="0" applyFill="1" applyBorder="1"/>
    <xf numFmtId="0" fontId="0" fillId="15" borderId="12" xfId="0" applyFill="1" applyBorder="1"/>
    <xf numFmtId="0" fontId="0" fillId="15" borderId="14" xfId="0" applyFill="1" applyBorder="1"/>
    <xf numFmtId="0" fontId="0" fillId="15" borderId="13" xfId="0" applyFill="1" applyBorder="1"/>
    <xf numFmtId="0" fontId="9" fillId="17" borderId="10" xfId="0" applyFont="1" applyFill="1" applyBorder="1"/>
    <xf numFmtId="0" fontId="0" fillId="17" borderId="18" xfId="0" applyFill="1" applyBorder="1"/>
    <xf numFmtId="0" fontId="0" fillId="17" borderId="11" xfId="0" applyFill="1" applyBorder="1"/>
    <xf numFmtId="0" fontId="0" fillId="17" borderId="19" xfId="0" applyFill="1" applyBorder="1"/>
    <xf numFmtId="44" fontId="0" fillId="17" borderId="1" xfId="1" applyFont="1" applyFill="1" applyBorder="1"/>
    <xf numFmtId="0" fontId="0" fillId="17" borderId="0" xfId="0" applyFill="1"/>
    <xf numFmtId="0" fontId="0" fillId="17" borderId="9" xfId="0" applyFill="1" applyBorder="1"/>
    <xf numFmtId="0" fontId="0" fillId="17" borderId="8" xfId="0" applyFill="1" applyBorder="1"/>
    <xf numFmtId="44" fontId="0" fillId="17" borderId="0" xfId="1" applyFont="1" applyFill="1" applyBorder="1"/>
    <xf numFmtId="0" fontId="0" fillId="17" borderId="12" xfId="0" applyFill="1" applyBorder="1"/>
    <xf numFmtId="0" fontId="0" fillId="17" borderId="14" xfId="0" applyFill="1" applyBorder="1"/>
    <xf numFmtId="0" fontId="0" fillId="17" borderId="13" xfId="0" applyFill="1" applyBorder="1"/>
    <xf numFmtId="0" fontId="0" fillId="13" borderId="0" xfId="0" applyFill="1"/>
    <xf numFmtId="0" fontId="0" fillId="18" borderId="10" xfId="0" applyFill="1" applyBorder="1"/>
    <xf numFmtId="0" fontId="0" fillId="18" borderId="18" xfId="0" applyFill="1" applyBorder="1"/>
    <xf numFmtId="0" fontId="0" fillId="18" borderId="11" xfId="0" applyFill="1" applyBorder="1"/>
    <xf numFmtId="0" fontId="9" fillId="18" borderId="8" xfId="0" applyFont="1" applyFill="1" applyBorder="1"/>
    <xf numFmtId="0" fontId="0" fillId="18" borderId="0" xfId="0" applyFill="1"/>
    <xf numFmtId="0" fontId="0" fillId="18" borderId="9" xfId="0" applyFill="1" applyBorder="1"/>
    <xf numFmtId="0" fontId="0" fillId="18" borderId="19" xfId="0" applyFill="1" applyBorder="1"/>
    <xf numFmtId="44" fontId="0" fillId="18" borderId="1" xfId="1" applyFont="1" applyFill="1" applyBorder="1"/>
    <xf numFmtId="0" fontId="9" fillId="18" borderId="20" xfId="0" applyFont="1" applyFill="1" applyBorder="1"/>
    <xf numFmtId="0" fontId="9" fillId="18" borderId="21" xfId="0" applyFont="1" applyFill="1" applyBorder="1"/>
    <xf numFmtId="0" fontId="9" fillId="18" borderId="22" xfId="0" applyFont="1" applyFill="1" applyBorder="1"/>
    <xf numFmtId="0" fontId="9" fillId="18" borderId="23" xfId="0" applyFont="1" applyFill="1" applyBorder="1"/>
    <xf numFmtId="0" fontId="0" fillId="18" borderId="21" xfId="0" applyFill="1" applyBorder="1"/>
    <xf numFmtId="0" fontId="9" fillId="18" borderId="24" xfId="0" applyFont="1" applyFill="1" applyBorder="1"/>
    <xf numFmtId="0" fontId="0" fillId="18" borderId="1" xfId="0" applyFill="1" applyBorder="1"/>
    <xf numFmtId="8" fontId="0" fillId="18" borderId="1" xfId="0" applyNumberFormat="1" applyFill="1" applyBorder="1"/>
    <xf numFmtId="0" fontId="0" fillId="18" borderId="1" xfId="0" applyFill="1" applyBorder="1" applyAlignment="1">
      <alignment horizontal="center" vertical="center"/>
    </xf>
    <xf numFmtId="8" fontId="0" fillId="18" borderId="25" xfId="0" applyNumberFormat="1" applyFill="1" applyBorder="1"/>
    <xf numFmtId="8" fontId="0" fillId="18" borderId="0" xfId="0" applyNumberFormat="1" applyFill="1"/>
    <xf numFmtId="8" fontId="0" fillId="18" borderId="6" xfId="0" applyNumberFormat="1" applyFill="1" applyBorder="1"/>
    <xf numFmtId="0" fontId="0" fillId="18" borderId="20" xfId="0" applyFill="1" applyBorder="1"/>
    <xf numFmtId="44" fontId="0" fillId="18" borderId="22" xfId="1" applyFont="1" applyFill="1" applyBorder="1"/>
    <xf numFmtId="0" fontId="0" fillId="18" borderId="8" xfId="0" applyFill="1" applyBorder="1"/>
    <xf numFmtId="44" fontId="0" fillId="18" borderId="0" xfId="0" applyNumberFormat="1" applyFill="1"/>
    <xf numFmtId="0" fontId="0" fillId="18" borderId="12" xfId="0" applyFill="1" applyBorder="1"/>
    <xf numFmtId="0" fontId="0" fillId="18" borderId="14" xfId="0" applyFill="1" applyBorder="1"/>
    <xf numFmtId="0" fontId="0" fillId="18" borderId="13" xfId="0" applyFill="1" applyBorder="1"/>
    <xf numFmtId="44" fontId="0" fillId="19" borderId="1" xfId="0" applyNumberFormat="1" applyFill="1" applyBorder="1" applyAlignment="1">
      <alignment horizontal="center" vertical="center"/>
    </xf>
    <xf numFmtId="0" fontId="0" fillId="19" borderId="10" xfId="0" applyFill="1" applyBorder="1"/>
    <xf numFmtId="0" fontId="0" fillId="19" borderId="18" xfId="0" applyFill="1" applyBorder="1"/>
    <xf numFmtId="0" fontId="0" fillId="19" borderId="0" xfId="0" applyFill="1"/>
    <xf numFmtId="0" fontId="9" fillId="19" borderId="8" xfId="0" applyFont="1" applyFill="1" applyBorder="1"/>
    <xf numFmtId="0" fontId="4" fillId="19" borderId="0" xfId="0" applyFont="1" applyFill="1" applyAlignment="1">
      <alignment horizontal="center"/>
    </xf>
    <xf numFmtId="0" fontId="0" fillId="19" borderId="1" xfId="0" applyFill="1" applyBorder="1"/>
    <xf numFmtId="0" fontId="0" fillId="19" borderId="19" xfId="0" applyFill="1" applyBorder="1"/>
    <xf numFmtId="0" fontId="9" fillId="19" borderId="0" xfId="0" applyFont="1" applyFill="1"/>
    <xf numFmtId="0" fontId="9" fillId="19" borderId="1" xfId="0" applyFont="1" applyFill="1" applyBorder="1"/>
    <xf numFmtId="0" fontId="4" fillId="19" borderId="1" xfId="0" applyFont="1" applyFill="1" applyBorder="1" applyAlignment="1">
      <alignment horizontal="center"/>
    </xf>
    <xf numFmtId="0" fontId="9" fillId="19" borderId="25" xfId="0" applyFont="1" applyFill="1" applyBorder="1"/>
    <xf numFmtId="0" fontId="9" fillId="19" borderId="7" xfId="0" applyFont="1" applyFill="1" applyBorder="1"/>
    <xf numFmtId="0" fontId="9" fillId="19" borderId="5" xfId="0" applyFont="1" applyFill="1" applyBorder="1"/>
    <xf numFmtId="14" fontId="0" fillId="19" borderId="1" xfId="0" applyNumberFormat="1" applyFill="1" applyBorder="1"/>
    <xf numFmtId="44" fontId="0" fillId="19" borderId="0" xfId="1" applyFont="1" applyFill="1"/>
    <xf numFmtId="0" fontId="0" fillId="19" borderId="1" xfId="0" applyFill="1" applyBorder="1" applyAlignment="1">
      <alignment horizontal="center"/>
    </xf>
    <xf numFmtId="44" fontId="0" fillId="19" borderId="1" xfId="1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44" fontId="0" fillId="19" borderId="25" xfId="1" applyFont="1" applyFill="1" applyBorder="1"/>
    <xf numFmtId="44" fontId="0" fillId="19" borderId="1" xfId="1" applyFont="1" applyFill="1" applyBorder="1"/>
    <xf numFmtId="2" fontId="0" fillId="19" borderId="1" xfId="0" applyNumberFormat="1" applyFill="1" applyBorder="1" applyAlignment="1">
      <alignment horizontal="center" vertical="center"/>
    </xf>
    <xf numFmtId="0" fontId="0" fillId="19" borderId="8" xfId="0" applyFill="1" applyBorder="1"/>
    <xf numFmtId="44" fontId="0" fillId="19" borderId="0" xfId="0" applyNumberFormat="1" applyFill="1"/>
    <xf numFmtId="3" fontId="0" fillId="19" borderId="1" xfId="0" applyNumberFormat="1" applyFill="1" applyBorder="1" applyAlignment="1">
      <alignment horizontal="center" vertical="center"/>
    </xf>
    <xf numFmtId="14" fontId="0" fillId="19" borderId="1" xfId="0" applyNumberFormat="1" applyFill="1" applyBorder="1" applyAlignment="1">
      <alignment horizontal="center" vertical="center"/>
    </xf>
    <xf numFmtId="0" fontId="0" fillId="19" borderId="12" xfId="0" applyFill="1" applyBorder="1"/>
    <xf numFmtId="0" fontId="0" fillId="19" borderId="14" xfId="0" applyFill="1" applyBorder="1"/>
    <xf numFmtId="0" fontId="0" fillId="19" borderId="3" xfId="0" applyFill="1" applyBorder="1"/>
    <xf numFmtId="44" fontId="0" fillId="19" borderId="0" xfId="1" applyFont="1" applyFill="1" applyBorder="1" applyAlignment="1">
      <alignment horizontal="center" vertical="center"/>
    </xf>
    <xf numFmtId="44" fontId="0" fillId="13" borderId="0" xfId="0" applyNumberFormat="1" applyFill="1"/>
    <xf numFmtId="14" fontId="0" fillId="13" borderId="1" xfId="0" applyNumberFormat="1" applyFill="1" applyBorder="1" applyAlignment="1">
      <alignment horizontal="center"/>
    </xf>
    <xf numFmtId="44" fontId="0" fillId="13" borderId="1" xfId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0" xfId="0" applyFill="1" applyBorder="1"/>
    <xf numFmtId="0" fontId="0" fillId="13" borderId="18" xfId="0" applyFill="1" applyBorder="1"/>
    <xf numFmtId="0" fontId="0" fillId="13" borderId="11" xfId="0" applyFill="1" applyBorder="1"/>
    <xf numFmtId="14" fontId="0" fillId="13" borderId="0" xfId="0" applyNumberFormat="1" applyFill="1" applyAlignment="1">
      <alignment horizontal="center"/>
    </xf>
    <xf numFmtId="44" fontId="0" fillId="13" borderId="0" xfId="1" applyFon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12" xfId="0" applyFill="1" applyBorder="1"/>
    <xf numFmtId="0" fontId="0" fillId="13" borderId="14" xfId="0" applyFill="1" applyBorder="1"/>
    <xf numFmtId="44" fontId="0" fillId="13" borderId="14" xfId="1" applyFont="1" applyFill="1" applyBorder="1"/>
    <xf numFmtId="0" fontId="0" fillId="13" borderId="13" xfId="0" applyFill="1" applyBorder="1"/>
    <xf numFmtId="16" fontId="0" fillId="13" borderId="8" xfId="0" applyNumberFormat="1" applyFill="1" applyBorder="1" applyAlignment="1">
      <alignment vertical="center"/>
    </xf>
    <xf numFmtId="0" fontId="0" fillId="20" borderId="0" xfId="0" applyFill="1"/>
    <xf numFmtId="0" fontId="0" fillId="20" borderId="19" xfId="0" applyFill="1" applyBorder="1"/>
    <xf numFmtId="44" fontId="0" fillId="20" borderId="1" xfId="0" applyNumberFormat="1" applyFill="1" applyBorder="1" applyAlignment="1">
      <alignment horizontal="center" vertical="center"/>
    </xf>
    <xf numFmtId="0" fontId="0" fillId="20" borderId="8" xfId="0" applyFill="1" applyBorder="1"/>
    <xf numFmtId="44" fontId="0" fillId="20" borderId="0" xfId="0" applyNumberFormat="1" applyFill="1"/>
    <xf numFmtId="0" fontId="0" fillId="20" borderId="12" xfId="0" applyFill="1" applyBorder="1"/>
    <xf numFmtId="0" fontId="0" fillId="20" borderId="14" xfId="0" applyFill="1" applyBorder="1"/>
    <xf numFmtId="14" fontId="4" fillId="16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44" fontId="4" fillId="16" borderId="1" xfId="1" applyFont="1" applyFill="1" applyBorder="1" applyAlignment="1">
      <alignment horizontal="center" vertical="center"/>
    </xf>
    <xf numFmtId="44" fontId="4" fillId="16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4" fontId="4" fillId="5" borderId="1" xfId="1" applyFont="1" applyFill="1" applyBorder="1" applyAlignment="1">
      <alignment horizontal="center" vertical="center"/>
    </xf>
    <xf numFmtId="44" fontId="4" fillId="5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21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44" fontId="4" fillId="21" borderId="1" xfId="1" applyFont="1" applyFill="1" applyBorder="1" applyAlignment="1">
      <alignment horizontal="center" vertical="center"/>
    </xf>
    <xf numFmtId="44" fontId="4" fillId="21" borderId="1" xfId="0" applyNumberFormat="1" applyFont="1" applyFill="1" applyBorder="1" applyAlignment="1">
      <alignment horizontal="center" vertical="center"/>
    </xf>
    <xf numFmtId="14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9" fillId="15" borderId="35" xfId="0" applyFont="1" applyFill="1" applyBorder="1" applyAlignment="1">
      <alignment horizontal="center" vertical="center"/>
    </xf>
    <xf numFmtId="0" fontId="9" fillId="15" borderId="36" xfId="0" applyFont="1" applyFill="1" applyBorder="1" applyAlignment="1">
      <alignment horizontal="center" vertical="center"/>
    </xf>
    <xf numFmtId="0" fontId="9" fillId="15" borderId="40" xfId="0" applyFont="1" applyFill="1" applyBorder="1" applyAlignment="1">
      <alignment horizontal="center" vertical="center"/>
    </xf>
    <xf numFmtId="44" fontId="0" fillId="15" borderId="0" xfId="1" applyFont="1" applyFill="1" applyBorder="1"/>
    <xf numFmtId="0" fontId="0" fillId="15" borderId="27" xfId="0" applyFill="1" applyBorder="1"/>
    <xf numFmtId="0" fontId="0" fillId="15" borderId="27" xfId="0" applyFill="1" applyBorder="1" applyAlignment="1">
      <alignment horizontal="center"/>
    </xf>
    <xf numFmtId="0" fontId="0" fillId="15" borderId="28" xfId="0" applyFill="1" applyBorder="1"/>
    <xf numFmtId="0" fontId="0" fillId="15" borderId="28" xfId="0" applyFill="1" applyBorder="1" applyAlignment="1">
      <alignment horizontal="center"/>
    </xf>
    <xf numFmtId="0" fontId="0" fillId="15" borderId="30" xfId="0" applyFill="1" applyBorder="1"/>
    <xf numFmtId="0" fontId="9" fillId="15" borderId="31" xfId="0" applyFont="1" applyFill="1" applyBorder="1" applyAlignment="1">
      <alignment horizontal="center" vertical="center" wrapText="1"/>
    </xf>
    <xf numFmtId="0" fontId="9" fillId="15" borderId="31" xfId="0" applyFont="1" applyFill="1" applyBorder="1" applyAlignment="1">
      <alignment horizontal="center" vertical="center"/>
    </xf>
    <xf numFmtId="44" fontId="9" fillId="15" borderId="31" xfId="1" applyFont="1" applyFill="1" applyBorder="1" applyAlignment="1">
      <alignment horizontal="center" vertical="center" wrapText="1"/>
    </xf>
    <xf numFmtId="0" fontId="0" fillId="15" borderId="36" xfId="0" applyFill="1" applyBorder="1"/>
    <xf numFmtId="44" fontId="0" fillId="15" borderId="37" xfId="1" applyFont="1" applyFill="1" applyBorder="1"/>
    <xf numFmtId="0" fontId="0" fillId="15" borderId="38" xfId="0" applyFill="1" applyBorder="1"/>
    <xf numFmtId="44" fontId="0" fillId="15" borderId="38" xfId="1" applyFont="1" applyFill="1" applyBorder="1"/>
    <xf numFmtId="44" fontId="0" fillId="15" borderId="39" xfId="1" applyFont="1" applyFill="1" applyBorder="1"/>
    <xf numFmtId="44" fontId="0" fillId="15" borderId="36" xfId="1" applyFont="1" applyFill="1" applyBorder="1"/>
    <xf numFmtId="0" fontId="0" fillId="15" borderId="40" xfId="0" applyFill="1" applyBorder="1"/>
    <xf numFmtId="44" fontId="0" fillId="15" borderId="41" xfId="1" applyFont="1" applyFill="1" applyBorder="1"/>
    <xf numFmtId="44" fontId="4" fillId="15" borderId="38" xfId="1" applyFont="1" applyFill="1" applyBorder="1"/>
    <xf numFmtId="0" fontId="4" fillId="15" borderId="38" xfId="0" applyFont="1" applyFill="1" applyBorder="1"/>
    <xf numFmtId="44" fontId="0" fillId="15" borderId="27" xfId="1" applyFont="1" applyFill="1" applyBorder="1"/>
    <xf numFmtId="0" fontId="9" fillId="15" borderId="27" xfId="0" applyFont="1" applyFill="1" applyBorder="1" applyAlignment="1">
      <alignment horizontal="center" vertical="center"/>
    </xf>
    <xf numFmtId="164" fontId="0" fillId="15" borderId="27" xfId="0" applyNumberFormat="1" applyFill="1" applyBorder="1"/>
    <xf numFmtId="165" fontId="0" fillId="15" borderId="27" xfId="0" applyNumberFormat="1" applyFill="1" applyBorder="1"/>
    <xf numFmtId="0" fontId="0" fillId="15" borderId="42" xfId="0" applyFill="1" applyBorder="1"/>
    <xf numFmtId="0" fontId="0" fillId="15" borderId="42" xfId="0" applyFill="1" applyBorder="1" applyAlignment="1">
      <alignment horizontal="center"/>
    </xf>
    <xf numFmtId="0" fontId="0" fillId="15" borderId="43" xfId="0" applyFill="1" applyBorder="1"/>
    <xf numFmtId="44" fontId="0" fillId="15" borderId="43" xfId="1" applyFont="1" applyFill="1" applyBorder="1"/>
    <xf numFmtId="0" fontId="9" fillId="15" borderId="43" xfId="0" applyFont="1" applyFill="1" applyBorder="1" applyAlignment="1">
      <alignment horizontal="center" vertical="center"/>
    </xf>
    <xf numFmtId="164" fontId="11" fillId="15" borderId="0" xfId="0" applyNumberFormat="1" applyFont="1" applyFill="1"/>
    <xf numFmtId="164" fontId="15" fillId="15" borderId="0" xfId="0" applyNumberFormat="1" applyFont="1" applyFill="1" applyAlignment="1">
      <alignment horizontal="center" vertical="center"/>
    </xf>
    <xf numFmtId="0" fontId="0" fillId="15" borderId="44" xfId="0" applyFill="1" applyBorder="1" applyAlignment="1">
      <alignment horizontal="center"/>
    </xf>
    <xf numFmtId="0" fontId="0" fillId="15" borderId="44" xfId="0" applyFill="1" applyBorder="1"/>
    <xf numFmtId="44" fontId="0" fillId="15" borderId="44" xfId="1" applyFont="1" applyFill="1" applyBorder="1"/>
    <xf numFmtId="0" fontId="9" fillId="15" borderId="44" xfId="0" applyFont="1" applyFill="1" applyBorder="1" applyAlignment="1">
      <alignment horizontal="center" vertical="center"/>
    </xf>
    <xf numFmtId="0" fontId="5" fillId="7" borderId="10" xfId="0" applyFont="1" applyFill="1" applyBorder="1"/>
    <xf numFmtId="0" fontId="5" fillId="7" borderId="18" xfId="0" applyFont="1" applyFill="1" applyBorder="1"/>
    <xf numFmtId="0" fontId="5" fillId="7" borderId="11" xfId="0" applyFont="1" applyFill="1" applyBorder="1"/>
    <xf numFmtId="0" fontId="5" fillId="7" borderId="8" xfId="0" applyFont="1" applyFill="1" applyBorder="1"/>
    <xf numFmtId="0" fontId="5" fillId="7" borderId="0" xfId="0" applyFont="1" applyFill="1"/>
    <xf numFmtId="0" fontId="5" fillId="7" borderId="9" xfId="0" applyFont="1" applyFill="1" applyBorder="1"/>
    <xf numFmtId="44" fontId="5" fillId="7" borderId="8" xfId="0" applyNumberFormat="1" applyFont="1" applyFill="1" applyBorder="1"/>
    <xf numFmtId="0" fontId="5" fillId="7" borderId="12" xfId="0" applyFont="1" applyFill="1" applyBorder="1"/>
    <xf numFmtId="0" fontId="5" fillId="7" borderId="14" xfId="0" applyFont="1" applyFill="1" applyBorder="1"/>
    <xf numFmtId="0" fontId="5" fillId="7" borderId="13" xfId="0" applyFont="1" applyFill="1" applyBorder="1"/>
    <xf numFmtId="14" fontId="0" fillId="0" borderId="1" xfId="0" applyNumberFormat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44" fontId="0" fillId="21" borderId="1" xfId="0" applyNumberFormat="1" applyFill="1" applyBorder="1" applyAlignment="1">
      <alignment horizontal="center" vertical="center"/>
    </xf>
    <xf numFmtId="44" fontId="2" fillId="7" borderId="8" xfId="0" applyNumberFormat="1" applyFont="1" applyFill="1" applyBorder="1"/>
    <xf numFmtId="44" fontId="2" fillId="7" borderId="0" xfId="0" applyNumberFormat="1" applyFont="1" applyFill="1"/>
    <xf numFmtId="44" fontId="0" fillId="6" borderId="1" xfId="0" applyNumberFormat="1" applyFill="1" applyBorder="1" applyAlignment="1">
      <alignment horizontal="center" vertical="center"/>
    </xf>
    <xf numFmtId="44" fontId="0" fillId="15" borderId="0" xfId="0" applyNumberFormat="1" applyFill="1"/>
    <xf numFmtId="44" fontId="16" fillId="15" borderId="0" xfId="1" applyFont="1" applyFill="1"/>
    <xf numFmtId="0" fontId="16" fillId="15" borderId="0" xfId="0" applyFont="1" applyFill="1"/>
    <xf numFmtId="44" fontId="16" fillId="15" borderId="0" xfId="0" applyNumberFormat="1" applyFont="1" applyFill="1"/>
    <xf numFmtId="8" fontId="0" fillId="18" borderId="3" xfId="0" applyNumberFormat="1" applyFill="1" applyBorder="1" applyAlignment="1">
      <alignment horizontal="center" vertical="center" wrapText="1"/>
    </xf>
    <xf numFmtId="8" fontId="0" fillId="18" borderId="5" xfId="0" applyNumberFormat="1" applyFill="1" applyBorder="1" applyAlignment="1">
      <alignment horizontal="center" vertical="center" wrapText="1"/>
    </xf>
    <xf numFmtId="8" fontId="0" fillId="18" borderId="2" xfId="0" applyNumberFormat="1" applyFill="1" applyBorder="1" applyAlignment="1">
      <alignment horizontal="center" vertical="center" wrapText="1"/>
    </xf>
    <xf numFmtId="0" fontId="9" fillId="15" borderId="29" xfId="0" applyFont="1" applyFill="1" applyBorder="1" applyAlignment="1">
      <alignment horizontal="center" vertical="center"/>
    </xf>
    <xf numFmtId="0" fontId="9" fillId="15" borderId="34" xfId="0" applyFont="1" applyFill="1" applyBorder="1" applyAlignment="1">
      <alignment horizontal="center" vertic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>
      <alignment horizontal="center" vertical="center"/>
    </xf>
    <xf numFmtId="0" fontId="9" fillId="15" borderId="3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6"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19"/>
  <sheetViews>
    <sheetView zoomScale="75" zoomScaleNormal="75" workbookViewId="0">
      <pane ySplit="1" topLeftCell="A50" activePane="bottomLeft" state="frozen"/>
      <selection activeCell="Y1" sqref="Y1"/>
      <selection pane="bottomLeft" activeCell="L16" sqref="L16"/>
    </sheetView>
  </sheetViews>
  <sheetFormatPr defaultRowHeight="15"/>
  <cols>
    <col min="1" max="1" width="3.5703125" customWidth="1"/>
    <col min="2" max="2" width="21.85546875" customWidth="1"/>
    <col min="3" max="3" width="35.42578125" customWidth="1"/>
    <col min="4" max="4" width="18.42578125" customWidth="1"/>
    <col min="5" max="5" width="26.7109375" customWidth="1"/>
    <col min="6" max="6" width="23.140625" customWidth="1"/>
    <col min="10" max="10" width="1" customWidth="1"/>
    <col min="11" max="11" width="17.28515625" customWidth="1"/>
    <col min="12" max="12" width="16.5703125" customWidth="1"/>
    <col min="13" max="14" width="16" customWidth="1"/>
    <col min="15" max="15" width="18.85546875" customWidth="1"/>
    <col min="16" max="16" width="13.7109375" customWidth="1"/>
    <col min="17" max="17" width="19" customWidth="1"/>
    <col min="18" max="18" width="16.42578125" customWidth="1"/>
    <col min="19" max="19" width="13.7109375" customWidth="1"/>
    <col min="20" max="20" width="16.85546875" customWidth="1"/>
    <col min="21" max="21" width="14.28515625" customWidth="1"/>
    <col min="22" max="22" width="13.28515625" customWidth="1"/>
    <col min="23" max="23" width="12.140625" customWidth="1"/>
    <col min="24" max="24" width="17.140625" customWidth="1"/>
    <col min="25" max="25" width="12.28515625" bestFit="1" customWidth="1"/>
    <col min="26" max="26" width="15.42578125" customWidth="1"/>
    <col min="27" max="27" width="12.85546875" customWidth="1"/>
    <col min="28" max="28" width="15.28515625" customWidth="1"/>
    <col min="29" max="29" width="14.42578125" customWidth="1"/>
    <col min="30" max="30" width="16.42578125" customWidth="1"/>
    <col min="31" max="31" width="16.140625" customWidth="1"/>
    <col min="32" max="32" width="14.7109375" customWidth="1"/>
    <col min="33" max="33" width="14.42578125" customWidth="1"/>
    <col min="34" max="34" width="14.85546875" customWidth="1"/>
    <col min="35" max="35" width="11.5703125" customWidth="1"/>
    <col min="36" max="36" width="13.5703125" style="8" customWidth="1"/>
    <col min="37" max="37" width="16.42578125" style="8" customWidth="1"/>
    <col min="38" max="39" width="17.28515625" style="8" customWidth="1"/>
    <col min="40" max="40" width="7.42578125" style="70" customWidth="1"/>
    <col min="41" max="41" width="11.85546875" customWidth="1"/>
    <col min="42" max="42" width="13.140625" customWidth="1"/>
    <col min="43" max="43" width="17.140625" customWidth="1"/>
    <col min="44" max="44" width="22" customWidth="1"/>
    <col min="45" max="45" width="15.85546875" customWidth="1"/>
    <col min="46" max="46" width="19.5703125" customWidth="1"/>
    <col min="47" max="47" width="12.140625" customWidth="1"/>
    <col min="48" max="48" width="13.7109375" customWidth="1"/>
    <col min="49" max="49" width="13.85546875" customWidth="1"/>
    <col min="50" max="50" width="14.7109375" customWidth="1"/>
    <col min="51" max="52" width="16" customWidth="1"/>
    <col min="53" max="53" width="16.7109375" customWidth="1"/>
    <col min="54" max="54" width="14.140625" customWidth="1"/>
    <col min="55" max="55" width="21.42578125" customWidth="1"/>
    <col min="56" max="56" width="16.7109375" customWidth="1"/>
    <col min="57" max="57" width="20.42578125" customWidth="1"/>
    <col min="58" max="58" width="11.5703125" style="70" customWidth="1"/>
    <col min="59" max="59" width="19.5703125" customWidth="1"/>
    <col min="60" max="60" width="15.5703125" customWidth="1"/>
    <col min="61" max="61" width="15" customWidth="1"/>
    <col min="62" max="62" width="18" customWidth="1"/>
    <col min="63" max="63" width="14.28515625" customWidth="1"/>
    <col min="64" max="65" width="15.7109375" customWidth="1"/>
    <col min="66" max="66" width="2.28515625" customWidth="1"/>
    <col min="67" max="67" width="12" customWidth="1"/>
    <col min="68" max="69" width="14.7109375" customWidth="1"/>
    <col min="70" max="70" width="14.5703125" customWidth="1"/>
    <col min="71" max="71" width="12.7109375" bestFit="1" customWidth="1"/>
    <col min="72" max="72" width="15.28515625" customWidth="1"/>
    <col min="73" max="73" width="17.28515625" customWidth="1"/>
    <col min="74" max="74" width="11" bestFit="1" customWidth="1"/>
    <col min="75" max="75" width="14.5703125" customWidth="1"/>
    <col min="76" max="76" width="13.85546875" hidden="1" customWidth="1"/>
    <col min="77" max="77" width="13.85546875" customWidth="1"/>
    <col min="78" max="81" width="13.85546875" hidden="1" customWidth="1"/>
    <col min="82" max="82" width="21.5703125" customWidth="1"/>
    <col min="83" max="83" width="24.28515625" customWidth="1"/>
    <col min="84" max="84" width="15.85546875" hidden="1" customWidth="1"/>
    <col min="85" max="85" width="14.7109375" customWidth="1"/>
    <col min="86" max="86" width="12.7109375" bestFit="1" customWidth="1"/>
    <col min="87" max="89" width="15.85546875" customWidth="1"/>
    <col min="90" max="90" width="1.5703125" customWidth="1"/>
    <col min="91" max="91" width="14.42578125" customWidth="1"/>
  </cols>
  <sheetData>
    <row r="1" spans="1:94">
      <c r="A1" s="30" t="s">
        <v>143</v>
      </c>
      <c r="B1" s="1" t="s">
        <v>0</v>
      </c>
      <c r="C1" s="1" t="s">
        <v>122</v>
      </c>
      <c r="D1" s="1" t="s">
        <v>12</v>
      </c>
      <c r="E1" s="1" t="s">
        <v>150</v>
      </c>
      <c r="F1" s="1" t="s">
        <v>17</v>
      </c>
      <c r="G1" s="1" t="s">
        <v>1</v>
      </c>
      <c r="H1" s="1" t="s">
        <v>2</v>
      </c>
      <c r="I1" s="1" t="s">
        <v>3</v>
      </c>
      <c r="K1" s="19" t="s">
        <v>74</v>
      </c>
      <c r="L1" s="19" t="s">
        <v>4</v>
      </c>
      <c r="M1" s="19" t="s">
        <v>6</v>
      </c>
      <c r="N1" s="19" t="s">
        <v>75</v>
      </c>
      <c r="O1" s="19" t="s">
        <v>76</v>
      </c>
      <c r="P1" s="19" t="s">
        <v>77</v>
      </c>
      <c r="Q1" s="19" t="s">
        <v>78</v>
      </c>
      <c r="R1" s="19" t="s">
        <v>7</v>
      </c>
      <c r="S1" s="20"/>
      <c r="T1" s="20" t="s">
        <v>99</v>
      </c>
      <c r="U1" s="20" t="s">
        <v>47</v>
      </c>
      <c r="V1" s="20" t="s">
        <v>79</v>
      </c>
      <c r="W1" s="20" t="s">
        <v>120</v>
      </c>
      <c r="X1" s="20" t="s">
        <v>105</v>
      </c>
      <c r="Y1" s="20" t="s">
        <v>21</v>
      </c>
      <c r="Z1" s="20" t="s">
        <v>89</v>
      </c>
      <c r="AA1" s="20" t="s">
        <v>18</v>
      </c>
      <c r="AB1" s="15" t="s">
        <v>104</v>
      </c>
      <c r="AC1" s="15" t="s">
        <v>87</v>
      </c>
      <c r="AD1" s="5" t="s">
        <v>80</v>
      </c>
      <c r="AE1" s="5" t="s">
        <v>142</v>
      </c>
      <c r="AF1" s="9" t="s">
        <v>81</v>
      </c>
      <c r="AG1" s="9" t="s">
        <v>21</v>
      </c>
      <c r="AH1" s="9" t="s">
        <v>114</v>
      </c>
      <c r="AI1" s="9" t="s">
        <v>18</v>
      </c>
      <c r="AJ1" s="6" t="s">
        <v>117</v>
      </c>
      <c r="AK1" s="6" t="s">
        <v>86</v>
      </c>
      <c r="AL1" s="6" t="s">
        <v>106</v>
      </c>
      <c r="AM1" s="6" t="s">
        <v>109</v>
      </c>
      <c r="AN1" s="14" t="s">
        <v>85</v>
      </c>
      <c r="AO1" s="10" t="s">
        <v>82</v>
      </c>
      <c r="AP1" s="10" t="s">
        <v>83</v>
      </c>
      <c r="AQ1" s="10" t="s">
        <v>76</v>
      </c>
      <c r="AR1" s="10" t="s">
        <v>84</v>
      </c>
      <c r="AS1" s="10" t="s">
        <v>108</v>
      </c>
      <c r="AT1" s="10" t="s">
        <v>21</v>
      </c>
      <c r="AU1" s="10" t="s">
        <v>121</v>
      </c>
      <c r="AV1" s="13" t="s">
        <v>111</v>
      </c>
      <c r="AW1" s="10" t="s">
        <v>110</v>
      </c>
      <c r="AX1" s="10" t="s">
        <v>112</v>
      </c>
      <c r="AY1" s="10" t="s">
        <v>90</v>
      </c>
      <c r="AZ1" s="10" t="s">
        <v>91</v>
      </c>
      <c r="BA1" s="10" t="s">
        <v>89</v>
      </c>
      <c r="BB1" s="11" t="s">
        <v>118</v>
      </c>
      <c r="BC1" s="11" t="s">
        <v>88</v>
      </c>
      <c r="BD1" s="12" t="s">
        <v>107</v>
      </c>
      <c r="BE1" s="12" t="s">
        <v>92</v>
      </c>
      <c r="BF1" s="13" t="s">
        <v>135</v>
      </c>
      <c r="BG1" s="16" t="s">
        <v>94</v>
      </c>
      <c r="BH1" s="16" t="s">
        <v>93</v>
      </c>
      <c r="BI1" s="16" t="s">
        <v>95</v>
      </c>
      <c r="BJ1" s="16" t="s">
        <v>97</v>
      </c>
      <c r="BK1" s="16" t="s">
        <v>96</v>
      </c>
      <c r="BL1" s="16" t="s">
        <v>98</v>
      </c>
      <c r="BM1" s="16"/>
      <c r="BO1" s="17" t="s">
        <v>429</v>
      </c>
      <c r="BP1" s="17" t="s">
        <v>5</v>
      </c>
      <c r="BQ1" s="17" t="s">
        <v>113</v>
      </c>
      <c r="BR1" s="17" t="s">
        <v>71</v>
      </c>
      <c r="BS1" s="17" t="s">
        <v>70</v>
      </c>
      <c r="BT1" s="17" t="s">
        <v>99</v>
      </c>
      <c r="BU1" s="17" t="s">
        <v>100</v>
      </c>
      <c r="BV1" s="17" t="s">
        <v>77</v>
      </c>
      <c r="BW1" s="17" t="s">
        <v>138</v>
      </c>
      <c r="BX1" s="17" t="s">
        <v>124</v>
      </c>
      <c r="BY1" s="17" t="s">
        <v>127</v>
      </c>
      <c r="BZ1" s="17" t="s">
        <v>128</v>
      </c>
      <c r="CA1" s="17" t="s">
        <v>129</v>
      </c>
      <c r="CB1" s="17" t="s">
        <v>126</v>
      </c>
      <c r="CC1" s="17" t="s">
        <v>125</v>
      </c>
      <c r="CD1" s="17" t="s">
        <v>140</v>
      </c>
      <c r="CE1" s="17" t="s">
        <v>141</v>
      </c>
      <c r="CF1" s="17" t="s">
        <v>103</v>
      </c>
      <c r="CG1" s="17" t="s">
        <v>123</v>
      </c>
      <c r="CH1" s="17" t="s">
        <v>7</v>
      </c>
      <c r="CI1" s="27" t="s">
        <v>130</v>
      </c>
      <c r="CJ1" s="27"/>
      <c r="CK1" s="27"/>
      <c r="CM1" s="7" t="s">
        <v>101</v>
      </c>
      <c r="CN1" s="17" t="s">
        <v>102</v>
      </c>
      <c r="CO1" s="17" t="s">
        <v>7</v>
      </c>
      <c r="CP1" s="17" t="s">
        <v>103</v>
      </c>
    </row>
    <row r="2" spans="1:94" s="8" customFormat="1">
      <c r="A2" s="4">
        <v>1</v>
      </c>
      <c r="B2" s="149">
        <v>45321</v>
      </c>
      <c r="C2" s="150" t="s">
        <v>26</v>
      </c>
      <c r="D2" s="150"/>
      <c r="E2" s="150" t="s">
        <v>151</v>
      </c>
      <c r="F2" s="150" t="s">
        <v>23</v>
      </c>
      <c r="G2" s="150" t="s">
        <v>8</v>
      </c>
      <c r="H2" s="150">
        <v>352</v>
      </c>
      <c r="I2" s="150" t="s">
        <v>9</v>
      </c>
      <c r="K2" s="21">
        <v>0</v>
      </c>
      <c r="L2" s="21">
        <v>0</v>
      </c>
      <c r="M2" s="21">
        <v>0</v>
      </c>
      <c r="N2" s="21">
        <v>5000</v>
      </c>
      <c r="O2" s="21">
        <v>1650</v>
      </c>
      <c r="P2" s="21">
        <v>0</v>
      </c>
      <c r="Q2" s="21">
        <v>0</v>
      </c>
      <c r="R2" s="21">
        <v>0</v>
      </c>
      <c r="S2" s="21"/>
      <c r="T2" s="21">
        <v>0</v>
      </c>
      <c r="U2" s="21">
        <v>0</v>
      </c>
      <c r="V2" s="21">
        <v>0</v>
      </c>
      <c r="W2" s="21"/>
      <c r="X2" s="21">
        <v>0</v>
      </c>
      <c r="Y2" s="21">
        <v>0</v>
      </c>
      <c r="Z2" s="21">
        <v>0</v>
      </c>
      <c r="AA2" s="21">
        <v>0</v>
      </c>
      <c r="AB2" s="43">
        <f t="shared" ref="AB2:AB11" si="0">K2+L2+M2+N2+O2+P2+Q2+R2+T2</f>
        <v>6650</v>
      </c>
      <c r="AC2" s="43">
        <f t="shared" ref="AC2:AC38" si="1">AB2+AA2+Z2+Y2+X2+V2+U2</f>
        <v>6650</v>
      </c>
      <c r="AD2" s="21">
        <v>25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f t="shared" ref="AJ2:AJ38" si="2">AD2+AE2</f>
        <v>25</v>
      </c>
      <c r="AK2" s="22">
        <f t="shared" ref="AK2:AK17" si="3">AJ2*AN2</f>
        <v>2500</v>
      </c>
      <c r="AL2" s="45">
        <f t="shared" ref="AL2:AL38" si="4">AK2+AI2+AH2+AG2+AF2</f>
        <v>2500</v>
      </c>
      <c r="AM2" s="45">
        <f t="shared" ref="AM2:AM38" si="5">AL2+AC2</f>
        <v>9150</v>
      </c>
      <c r="AN2" s="32">
        <v>100</v>
      </c>
      <c r="AO2" s="21">
        <v>90</v>
      </c>
      <c r="AP2" s="21">
        <v>0</v>
      </c>
      <c r="AQ2" s="21">
        <v>2250</v>
      </c>
      <c r="AR2" s="21">
        <v>0</v>
      </c>
      <c r="AS2" s="21">
        <v>0</v>
      </c>
      <c r="AT2" s="21">
        <v>0</v>
      </c>
      <c r="AU2" s="21"/>
      <c r="AV2" s="4">
        <v>20</v>
      </c>
      <c r="AW2" s="21">
        <v>57.5</v>
      </c>
      <c r="AX2" s="21">
        <f>AV2*AW2</f>
        <v>1150</v>
      </c>
      <c r="AY2" s="21">
        <v>0</v>
      </c>
      <c r="AZ2" s="21">
        <v>0</v>
      </c>
      <c r="BA2" s="21">
        <v>0</v>
      </c>
      <c r="BB2" s="21">
        <f t="shared" ref="BB2:BB4" si="6">AO2+AP2</f>
        <v>90</v>
      </c>
      <c r="BC2" s="23">
        <f t="shared" ref="BC2:BC38" si="7">(BB2+AJ2)*AN2+AQ2</f>
        <v>13750</v>
      </c>
      <c r="BD2" s="40">
        <f t="shared" ref="BD2:BD51" si="8">BC2+AB2</f>
        <v>20400</v>
      </c>
      <c r="BE2" s="40">
        <f t="shared" ref="BE2:BE38" si="9">(BC2+BA2+AY2+AT2)+(AI2+AH2+AC2)+AX2+AZ2+AS2+AR2+AG2+AF2</f>
        <v>21550</v>
      </c>
      <c r="BF2" s="32">
        <f>AV2+AN2</f>
        <v>120</v>
      </c>
      <c r="BG2" s="24">
        <v>0</v>
      </c>
      <c r="BH2" s="4">
        <v>0</v>
      </c>
      <c r="BI2" s="4">
        <v>0</v>
      </c>
      <c r="BJ2" s="24">
        <v>0</v>
      </c>
      <c r="BK2" s="4">
        <v>0</v>
      </c>
      <c r="BL2" s="21">
        <f t="shared" ref="BL2:BL6" si="10">AO2*AN2</f>
        <v>9000</v>
      </c>
      <c r="BM2" s="24"/>
      <c r="BN2" s="4"/>
      <c r="BO2" s="21"/>
      <c r="BP2" s="21">
        <v>4650</v>
      </c>
      <c r="BQ2" s="21">
        <v>0</v>
      </c>
      <c r="BR2" s="21">
        <v>780</v>
      </c>
      <c r="BS2" s="21">
        <v>0</v>
      </c>
      <c r="BT2" s="21">
        <v>0</v>
      </c>
      <c r="BU2" s="21">
        <v>450</v>
      </c>
      <c r="BV2" s="21"/>
      <c r="BW2" s="21"/>
      <c r="BX2" s="21"/>
      <c r="BY2" s="21"/>
      <c r="BZ2" s="21"/>
      <c r="CA2" s="21"/>
      <c r="CB2" s="21"/>
      <c r="CC2" s="21"/>
      <c r="CD2" s="21">
        <v>698.84</v>
      </c>
      <c r="CE2" s="21"/>
      <c r="CF2" s="21"/>
      <c r="CG2" s="21"/>
      <c r="CH2" s="21"/>
      <c r="CI2" s="18">
        <f t="shared" ref="CI2:CI44" si="11">CH2+CG2+CF2+CE2+CD2+CC2+CA2+BZ2+CB2+BY2+BX2+BW2+BV2+BU2+BT2+BS2+BR2+BQ2+BP2+BO2</f>
        <v>6578.84</v>
      </c>
      <c r="CJ2" s="18"/>
      <c r="CK2" s="18"/>
      <c r="CL2" s="4"/>
      <c r="CM2" s="4"/>
      <c r="CN2" s="4"/>
      <c r="CO2" s="4"/>
      <c r="CP2" s="4"/>
    </row>
    <row r="3" spans="1:94" s="8" customFormat="1">
      <c r="A3" s="4">
        <v>2</v>
      </c>
      <c r="B3" s="137">
        <v>45322</v>
      </c>
      <c r="C3" s="138" t="s">
        <v>69</v>
      </c>
      <c r="D3" s="164"/>
      <c r="E3" s="138" t="s">
        <v>151</v>
      </c>
      <c r="F3" s="138" t="s">
        <v>58</v>
      </c>
      <c r="G3" s="136" t="s">
        <v>8</v>
      </c>
      <c r="H3" s="136"/>
      <c r="I3" s="136" t="s">
        <v>9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43">
        <f t="shared" si="0"/>
        <v>0</v>
      </c>
      <c r="AC3" s="43">
        <f t="shared" si="1"/>
        <v>0</v>
      </c>
      <c r="AD3" s="21"/>
      <c r="AE3" s="21"/>
      <c r="AF3" s="21"/>
      <c r="AG3" s="21"/>
      <c r="AH3" s="21"/>
      <c r="AI3" s="21"/>
      <c r="AJ3" s="21">
        <f t="shared" si="2"/>
        <v>0</v>
      </c>
      <c r="AK3" s="22">
        <f t="shared" si="3"/>
        <v>0</v>
      </c>
      <c r="AL3" s="45">
        <f t="shared" si="4"/>
        <v>0</v>
      </c>
      <c r="AM3" s="45">
        <f t="shared" si="5"/>
        <v>0</v>
      </c>
      <c r="AN3" s="32"/>
      <c r="AO3" s="21"/>
      <c r="AP3" s="21"/>
      <c r="AQ3" s="21"/>
      <c r="AR3" s="21"/>
      <c r="AS3" s="21"/>
      <c r="AT3" s="21"/>
      <c r="AU3" s="21"/>
      <c r="AV3" s="4"/>
      <c r="AW3" s="21"/>
      <c r="AX3" s="21">
        <f t="shared" ref="AX3:AX11" si="12">AV3*AW3</f>
        <v>0</v>
      </c>
      <c r="AY3" s="21"/>
      <c r="AZ3" s="21"/>
      <c r="BA3" s="21"/>
      <c r="BB3" s="21">
        <f t="shared" si="6"/>
        <v>0</v>
      </c>
      <c r="BC3" s="23">
        <f t="shared" si="7"/>
        <v>0</v>
      </c>
      <c r="BD3" s="40">
        <f t="shared" si="8"/>
        <v>0</v>
      </c>
      <c r="BE3" s="40">
        <f t="shared" si="9"/>
        <v>0</v>
      </c>
      <c r="BF3" s="32">
        <f t="shared" ref="BF3:BF63" si="13">AV3+AN3</f>
        <v>0</v>
      </c>
      <c r="BG3" s="24">
        <f t="shared" ref="BG3:BG20" si="14">BE3*10%</f>
        <v>0</v>
      </c>
      <c r="BH3" s="4">
        <v>0</v>
      </c>
      <c r="BI3" s="4">
        <v>0</v>
      </c>
      <c r="BJ3" s="24">
        <f t="shared" ref="BJ3:BJ6" si="15">BE3*10%</f>
        <v>0</v>
      </c>
      <c r="BK3" s="4">
        <v>0</v>
      </c>
      <c r="BL3" s="21">
        <f t="shared" si="10"/>
        <v>0</v>
      </c>
      <c r="BM3" s="4"/>
      <c r="BN3" s="4"/>
      <c r="BO3" s="21"/>
      <c r="BP3" s="21">
        <v>1500</v>
      </c>
      <c r="BQ3" s="21">
        <v>0</v>
      </c>
      <c r="BR3" s="21">
        <v>1480</v>
      </c>
      <c r="BS3" s="21">
        <v>0</v>
      </c>
      <c r="BT3" s="21">
        <v>0</v>
      </c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18">
        <f t="shared" si="11"/>
        <v>2980</v>
      </c>
      <c r="CJ3" s="18"/>
      <c r="CK3" s="18"/>
      <c r="CL3" s="4"/>
      <c r="CM3" s="4"/>
      <c r="CN3" s="4"/>
      <c r="CO3" s="4"/>
      <c r="CP3" s="4"/>
    </row>
    <row r="4" spans="1:94" s="8" customFormat="1">
      <c r="A4" s="4">
        <v>3</v>
      </c>
      <c r="B4" s="135">
        <v>45324</v>
      </c>
      <c r="C4" s="136" t="s">
        <v>55</v>
      </c>
      <c r="D4" s="136"/>
      <c r="E4" s="136" t="s">
        <v>151</v>
      </c>
      <c r="F4" s="136" t="s">
        <v>56</v>
      </c>
      <c r="G4" s="136" t="s">
        <v>8</v>
      </c>
      <c r="H4" s="136">
        <v>288</v>
      </c>
      <c r="I4" s="136" t="s">
        <v>9</v>
      </c>
      <c r="K4" s="21">
        <v>5000</v>
      </c>
      <c r="L4" s="21">
        <v>0</v>
      </c>
      <c r="M4" s="21">
        <v>1500</v>
      </c>
      <c r="N4" s="21">
        <v>3500</v>
      </c>
      <c r="O4" s="21">
        <v>0</v>
      </c>
      <c r="P4" s="21">
        <v>0</v>
      </c>
      <c r="Q4" s="21">
        <v>0</v>
      </c>
      <c r="R4" s="21">
        <v>0</v>
      </c>
      <c r="S4" s="21"/>
      <c r="T4" s="21">
        <v>0</v>
      </c>
      <c r="U4" s="21">
        <v>0</v>
      </c>
      <c r="V4" s="21">
        <v>2650</v>
      </c>
      <c r="W4" s="21"/>
      <c r="X4" s="21">
        <v>0</v>
      </c>
      <c r="Y4" s="21">
        <v>0</v>
      </c>
      <c r="Z4" s="21">
        <v>0</v>
      </c>
      <c r="AA4" s="21">
        <v>0</v>
      </c>
      <c r="AB4" s="43">
        <f t="shared" si="0"/>
        <v>10000</v>
      </c>
      <c r="AC4" s="43">
        <f t="shared" si="1"/>
        <v>12650</v>
      </c>
      <c r="AD4" s="21">
        <v>30</v>
      </c>
      <c r="AE4" s="21">
        <v>30.4</v>
      </c>
      <c r="AF4" s="21">
        <v>0</v>
      </c>
      <c r="AG4" s="21">
        <v>0</v>
      </c>
      <c r="AH4" s="21">
        <v>0</v>
      </c>
      <c r="AI4" s="21">
        <v>0</v>
      </c>
      <c r="AJ4" s="21">
        <f t="shared" si="2"/>
        <v>60.4</v>
      </c>
      <c r="AK4" s="22">
        <f t="shared" si="3"/>
        <v>18120</v>
      </c>
      <c r="AL4" s="45">
        <f t="shared" si="4"/>
        <v>18120</v>
      </c>
      <c r="AM4" s="45">
        <f t="shared" si="5"/>
        <v>30770</v>
      </c>
      <c r="AN4" s="32">
        <v>300</v>
      </c>
      <c r="AO4" s="21">
        <v>125</v>
      </c>
      <c r="AP4" s="21">
        <v>8</v>
      </c>
      <c r="AQ4" s="21">
        <f>2340+1384+800</f>
        <v>4524</v>
      </c>
      <c r="AR4" s="21">
        <v>0</v>
      </c>
      <c r="AS4" s="21">
        <v>0</v>
      </c>
      <c r="AT4" s="21">
        <v>0</v>
      </c>
      <c r="AU4" s="21"/>
      <c r="AV4" s="25">
        <v>46</v>
      </c>
      <c r="AW4" s="21">
        <v>182.768261</v>
      </c>
      <c r="AX4" s="21">
        <f t="shared" si="12"/>
        <v>8407.3400060000004</v>
      </c>
      <c r="AY4" s="21">
        <v>0</v>
      </c>
      <c r="AZ4" s="21">
        <v>0</v>
      </c>
      <c r="BA4" s="21">
        <v>0</v>
      </c>
      <c r="BB4" s="21">
        <f t="shared" si="6"/>
        <v>133</v>
      </c>
      <c r="BC4" s="23">
        <f t="shared" si="7"/>
        <v>62544</v>
      </c>
      <c r="BD4" s="40">
        <f t="shared" si="8"/>
        <v>72544</v>
      </c>
      <c r="BE4" s="40">
        <f t="shared" si="9"/>
        <v>83601.340005999999</v>
      </c>
      <c r="BF4" s="32">
        <f t="shared" si="13"/>
        <v>346</v>
      </c>
      <c r="BG4" s="24">
        <v>0</v>
      </c>
      <c r="BH4" s="4">
        <v>0</v>
      </c>
      <c r="BI4" s="4">
        <v>0</v>
      </c>
      <c r="BJ4" s="24">
        <v>0</v>
      </c>
      <c r="BK4" s="4">
        <v>0</v>
      </c>
      <c r="BL4" s="21">
        <f t="shared" si="10"/>
        <v>37500</v>
      </c>
      <c r="BM4" s="4"/>
      <c r="BN4" s="4"/>
      <c r="BO4" s="21"/>
      <c r="BP4" s="21">
        <v>7300</v>
      </c>
      <c r="BQ4" s="21">
        <v>1000</v>
      </c>
      <c r="BR4" s="21">
        <v>1300</v>
      </c>
      <c r="BS4" s="21">
        <v>0</v>
      </c>
      <c r="BT4" s="21"/>
      <c r="BU4" s="21">
        <v>380</v>
      </c>
      <c r="BV4" s="21"/>
      <c r="BW4" s="21"/>
      <c r="BX4" s="21"/>
      <c r="BY4" s="21"/>
      <c r="BZ4" s="21">
        <v>1000</v>
      </c>
      <c r="CA4" s="21"/>
      <c r="CB4" s="21">
        <v>375</v>
      </c>
      <c r="CC4" s="21"/>
      <c r="CD4" s="21">
        <v>3934.02</v>
      </c>
      <c r="CE4" s="21"/>
      <c r="CF4" s="21"/>
      <c r="CG4" s="21">
        <v>300</v>
      </c>
      <c r="CH4" s="21">
        <v>187</v>
      </c>
      <c r="CI4" s="18">
        <f t="shared" si="11"/>
        <v>15776.02</v>
      </c>
      <c r="CJ4" s="18"/>
      <c r="CK4" s="18"/>
      <c r="CL4" s="4"/>
      <c r="CM4" s="4"/>
      <c r="CN4" s="4"/>
      <c r="CO4" s="4"/>
      <c r="CP4" s="4"/>
    </row>
    <row r="5" spans="1:94" s="8" customFormat="1">
      <c r="A5" s="4">
        <v>4</v>
      </c>
      <c r="B5" s="135">
        <v>45332</v>
      </c>
      <c r="C5" s="136" t="s">
        <v>54</v>
      </c>
      <c r="D5" s="136" t="s">
        <v>53</v>
      </c>
      <c r="E5" s="136" t="s">
        <v>151</v>
      </c>
      <c r="F5" s="136" t="s">
        <v>24</v>
      </c>
      <c r="G5" s="136" t="s">
        <v>8</v>
      </c>
      <c r="H5" s="136">
        <v>278</v>
      </c>
      <c r="I5" s="136" t="s">
        <v>9</v>
      </c>
      <c r="K5" s="21">
        <v>39733.65</v>
      </c>
      <c r="L5" s="21">
        <v>3973.36</v>
      </c>
      <c r="M5" s="21">
        <v>2500</v>
      </c>
      <c r="N5" s="21">
        <v>7200</v>
      </c>
      <c r="O5" s="21">
        <v>0</v>
      </c>
      <c r="P5" s="21">
        <v>0</v>
      </c>
      <c r="Q5" s="21">
        <v>0</v>
      </c>
      <c r="R5" s="21">
        <v>0</v>
      </c>
      <c r="S5" s="21"/>
      <c r="T5" s="21">
        <v>0</v>
      </c>
      <c r="U5" s="21">
        <v>0</v>
      </c>
      <c r="V5" s="21">
        <v>0</v>
      </c>
      <c r="W5" s="21"/>
      <c r="X5" s="21">
        <v>0</v>
      </c>
      <c r="Y5" s="21">
        <v>0</v>
      </c>
      <c r="Z5" s="21">
        <v>0</v>
      </c>
      <c r="AA5" s="21">
        <v>0</v>
      </c>
      <c r="AB5" s="43">
        <f t="shared" si="0"/>
        <v>53407.01</v>
      </c>
      <c r="AC5" s="43">
        <f t="shared" si="1"/>
        <v>53407.01</v>
      </c>
      <c r="AD5" s="21">
        <v>45.1</v>
      </c>
      <c r="AE5" s="21">
        <v>38.5</v>
      </c>
      <c r="AF5" s="21">
        <v>0</v>
      </c>
      <c r="AG5" s="21">
        <v>0</v>
      </c>
      <c r="AH5" s="21">
        <v>0</v>
      </c>
      <c r="AI5" s="21">
        <v>0</v>
      </c>
      <c r="AJ5" s="21">
        <f t="shared" si="2"/>
        <v>83.6</v>
      </c>
      <c r="AK5" s="22">
        <f t="shared" si="3"/>
        <v>74153.2</v>
      </c>
      <c r="AL5" s="45">
        <f t="shared" si="4"/>
        <v>74153.2</v>
      </c>
      <c r="AM5" s="45">
        <f t="shared" si="5"/>
        <v>127560.20999999999</v>
      </c>
      <c r="AN5" s="32">
        <v>887</v>
      </c>
      <c r="AO5" s="21">
        <v>89.1</v>
      </c>
      <c r="AP5" s="21">
        <v>0</v>
      </c>
      <c r="AQ5" s="21">
        <v>0</v>
      </c>
      <c r="AR5" s="21">
        <v>6300</v>
      </c>
      <c r="AS5" s="21">
        <v>0</v>
      </c>
      <c r="AT5" s="21">
        <v>0</v>
      </c>
      <c r="AU5" s="21"/>
      <c r="AV5" s="25">
        <v>0</v>
      </c>
      <c r="AW5" s="21">
        <v>0</v>
      </c>
      <c r="AX5" s="21">
        <f t="shared" si="12"/>
        <v>0</v>
      </c>
      <c r="AY5" s="21">
        <v>4718.1899999999996</v>
      </c>
      <c r="AZ5" s="21">
        <v>0</v>
      </c>
      <c r="BA5" s="21">
        <v>0</v>
      </c>
      <c r="BB5" s="21">
        <f>AO5+AP5</f>
        <v>89.1</v>
      </c>
      <c r="BC5" s="23">
        <f t="shared" si="7"/>
        <v>153184.9</v>
      </c>
      <c r="BD5" s="40">
        <f t="shared" si="8"/>
        <v>206591.91</v>
      </c>
      <c r="BE5" s="40">
        <f t="shared" si="9"/>
        <v>217610.1</v>
      </c>
      <c r="BF5" s="32">
        <f t="shared" si="13"/>
        <v>887</v>
      </c>
      <c r="BG5" s="21"/>
      <c r="BH5" s="21">
        <v>39880.300000000003</v>
      </c>
      <c r="BI5" s="21">
        <v>0</v>
      </c>
      <c r="BJ5" s="21">
        <v>0</v>
      </c>
      <c r="BK5" s="21">
        <v>0</v>
      </c>
      <c r="BL5" s="21">
        <f t="shared" si="10"/>
        <v>79031.7</v>
      </c>
      <c r="BM5" s="21"/>
      <c r="BN5" s="21"/>
      <c r="BO5" s="21"/>
      <c r="BP5" s="21">
        <v>5450</v>
      </c>
      <c r="BQ5" s="21">
        <v>1000</v>
      </c>
      <c r="BR5" s="21">
        <f>11*160+180</f>
        <v>1940</v>
      </c>
      <c r="BS5" s="21">
        <v>0</v>
      </c>
      <c r="BT5" s="21">
        <v>160</v>
      </c>
      <c r="BU5" s="21">
        <v>0</v>
      </c>
      <c r="BV5" s="21"/>
      <c r="BW5" s="21"/>
      <c r="BX5" s="21"/>
      <c r="BY5" s="21">
        <v>309</v>
      </c>
      <c r="BZ5" s="21">
        <v>500</v>
      </c>
      <c r="CA5" s="21"/>
      <c r="CB5" s="21"/>
      <c r="CC5" s="21"/>
      <c r="CD5" s="21">
        <f>7049.25+8707.5</f>
        <v>15756.75</v>
      </c>
      <c r="CE5" s="21"/>
      <c r="CF5" s="21"/>
      <c r="CG5" s="21"/>
      <c r="CH5" s="21"/>
      <c r="CI5" s="18">
        <f t="shared" si="11"/>
        <v>25115.75</v>
      </c>
      <c r="CJ5" s="18"/>
      <c r="CK5" s="18"/>
      <c r="CL5" s="21"/>
      <c r="CM5" s="21"/>
      <c r="CN5" s="21"/>
      <c r="CO5" s="21"/>
      <c r="CP5" s="21"/>
    </row>
    <row r="6" spans="1:94" s="8" customFormat="1">
      <c r="A6" s="4">
        <v>5</v>
      </c>
      <c r="B6" s="137">
        <v>45338</v>
      </c>
      <c r="C6" s="138" t="s">
        <v>59</v>
      </c>
      <c r="D6" s="138" t="s">
        <v>9</v>
      </c>
      <c r="E6" s="138" t="s">
        <v>151</v>
      </c>
      <c r="F6" s="138" t="s">
        <v>56</v>
      </c>
      <c r="G6" s="138" t="s">
        <v>8</v>
      </c>
      <c r="H6" s="138">
        <v>475</v>
      </c>
      <c r="I6" s="138" t="s">
        <v>9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43">
        <f t="shared" si="0"/>
        <v>0</v>
      </c>
      <c r="AC6" s="43">
        <f t="shared" si="1"/>
        <v>0</v>
      </c>
      <c r="AD6" s="21"/>
      <c r="AE6" s="21"/>
      <c r="AF6" s="21"/>
      <c r="AG6" s="21"/>
      <c r="AH6" s="21"/>
      <c r="AI6" s="21"/>
      <c r="AJ6" s="21">
        <f t="shared" si="2"/>
        <v>0</v>
      </c>
      <c r="AK6" s="22">
        <f t="shared" si="3"/>
        <v>0</v>
      </c>
      <c r="AL6" s="45">
        <f t="shared" si="4"/>
        <v>0</v>
      </c>
      <c r="AM6" s="45">
        <f t="shared" si="5"/>
        <v>0</v>
      </c>
      <c r="AN6" s="32"/>
      <c r="AO6" s="21"/>
      <c r="AP6" s="21"/>
      <c r="AQ6" s="21"/>
      <c r="AR6" s="21"/>
      <c r="AS6" s="21"/>
      <c r="AT6" s="21"/>
      <c r="AU6" s="21"/>
      <c r="AV6" s="4"/>
      <c r="AW6" s="21"/>
      <c r="AX6" s="21">
        <f t="shared" si="12"/>
        <v>0</v>
      </c>
      <c r="AY6" s="21"/>
      <c r="AZ6" s="21"/>
      <c r="BA6" s="21"/>
      <c r="BB6" s="21">
        <f t="shared" ref="BB6:BB9" si="16">AO6+AP6*AN6</f>
        <v>0</v>
      </c>
      <c r="BC6" s="23">
        <f t="shared" si="7"/>
        <v>0</v>
      </c>
      <c r="BD6" s="40">
        <f t="shared" si="8"/>
        <v>0</v>
      </c>
      <c r="BE6" s="40">
        <f t="shared" si="9"/>
        <v>0</v>
      </c>
      <c r="BF6" s="32">
        <f t="shared" si="13"/>
        <v>0</v>
      </c>
      <c r="BG6" s="21">
        <f t="shared" si="14"/>
        <v>0</v>
      </c>
      <c r="BH6" s="21">
        <v>0</v>
      </c>
      <c r="BI6" s="21">
        <v>0</v>
      </c>
      <c r="BJ6" s="21">
        <f t="shared" si="15"/>
        <v>0</v>
      </c>
      <c r="BK6" s="21">
        <v>0</v>
      </c>
      <c r="BL6" s="21">
        <f t="shared" si="10"/>
        <v>0</v>
      </c>
      <c r="BM6" s="21"/>
      <c r="BN6" s="21"/>
      <c r="BO6" s="21"/>
      <c r="BP6" s="21">
        <v>0</v>
      </c>
      <c r="BQ6" s="21">
        <v>0</v>
      </c>
      <c r="BR6" s="21"/>
      <c r="BS6" s="21"/>
      <c r="BT6" s="21">
        <v>0</v>
      </c>
      <c r="BU6" s="21"/>
      <c r="BV6" s="21"/>
      <c r="BW6" s="21"/>
      <c r="BX6" s="21"/>
      <c r="BY6" s="21"/>
      <c r="BZ6" s="21">
        <v>600</v>
      </c>
      <c r="CA6" s="21"/>
      <c r="CB6" s="21"/>
      <c r="CC6" s="21"/>
      <c r="CD6" s="21">
        <v>1088.73</v>
      </c>
      <c r="CE6" s="21"/>
      <c r="CF6" s="21"/>
      <c r="CG6" s="21"/>
      <c r="CH6" s="21"/>
      <c r="CI6" s="18">
        <f t="shared" si="11"/>
        <v>1688.73</v>
      </c>
      <c r="CJ6" s="18"/>
      <c r="CK6" s="18"/>
      <c r="CL6" s="21"/>
      <c r="CM6" s="21"/>
      <c r="CN6" s="21"/>
      <c r="CO6" s="21"/>
      <c r="CP6" s="21"/>
    </row>
    <row r="7" spans="1:94" s="8" customFormat="1">
      <c r="A7" s="4">
        <v>6</v>
      </c>
      <c r="B7" s="135">
        <v>45339</v>
      </c>
      <c r="C7" s="136" t="s">
        <v>51</v>
      </c>
      <c r="D7" s="136" t="s">
        <v>49</v>
      </c>
      <c r="E7" s="136" t="s">
        <v>151</v>
      </c>
      <c r="F7" s="136" t="s">
        <v>24</v>
      </c>
      <c r="G7" s="136" t="s">
        <v>8</v>
      </c>
      <c r="H7" s="136">
        <v>201</v>
      </c>
      <c r="I7" s="136" t="s">
        <v>9</v>
      </c>
      <c r="K7" s="21">
        <v>25200</v>
      </c>
      <c r="L7" s="21">
        <v>2520</v>
      </c>
      <c r="M7" s="21">
        <v>2000</v>
      </c>
      <c r="N7" s="21">
        <v>7120</v>
      </c>
      <c r="O7" s="21">
        <v>0</v>
      </c>
      <c r="P7" s="21">
        <v>0</v>
      </c>
      <c r="Q7" s="21">
        <v>0</v>
      </c>
      <c r="R7" s="21">
        <v>0</v>
      </c>
      <c r="S7" s="21"/>
      <c r="T7" s="21">
        <v>0</v>
      </c>
      <c r="U7" s="21">
        <v>0</v>
      </c>
      <c r="V7" s="21">
        <v>0</v>
      </c>
      <c r="W7" s="21"/>
      <c r="X7" s="21">
        <v>0</v>
      </c>
      <c r="Y7" s="21">
        <v>0</v>
      </c>
      <c r="Z7" s="21">
        <v>0</v>
      </c>
      <c r="AA7" s="21">
        <v>0</v>
      </c>
      <c r="AB7" s="43">
        <f t="shared" si="0"/>
        <v>36840</v>
      </c>
      <c r="AC7" s="43">
        <f t="shared" si="1"/>
        <v>36840</v>
      </c>
      <c r="AD7" s="21">
        <v>25</v>
      </c>
      <c r="AE7" s="21">
        <v>143.5</v>
      </c>
      <c r="AF7" s="21"/>
      <c r="AG7" s="21"/>
      <c r="AH7" s="21"/>
      <c r="AI7" s="21"/>
      <c r="AJ7" s="21">
        <f t="shared" si="2"/>
        <v>168.5</v>
      </c>
      <c r="AK7" s="22">
        <f t="shared" si="3"/>
        <v>101100</v>
      </c>
      <c r="AL7" s="45">
        <f t="shared" si="4"/>
        <v>101100</v>
      </c>
      <c r="AM7" s="45">
        <f t="shared" si="5"/>
        <v>137940</v>
      </c>
      <c r="AN7" s="32">
        <v>600</v>
      </c>
      <c r="AO7" s="21">
        <v>70.5</v>
      </c>
      <c r="AP7" s="21">
        <v>0</v>
      </c>
      <c r="AQ7" s="21"/>
      <c r="AR7" s="21">
        <v>7447.5</v>
      </c>
      <c r="AS7" s="21">
        <v>0</v>
      </c>
      <c r="AT7" s="21">
        <v>6500</v>
      </c>
      <c r="AU7" s="21"/>
      <c r="AV7" s="4">
        <v>227</v>
      </c>
      <c r="AW7" s="21">
        <v>262.39206999999999</v>
      </c>
      <c r="AX7" s="21">
        <f t="shared" si="12"/>
        <v>59562.999889999999</v>
      </c>
      <c r="AY7" s="21">
        <v>4416.72</v>
      </c>
      <c r="AZ7" s="21">
        <v>1835.35</v>
      </c>
      <c r="BA7" s="21">
        <v>0</v>
      </c>
      <c r="BB7" s="21">
        <f t="shared" si="16"/>
        <v>70.5</v>
      </c>
      <c r="BC7" s="23">
        <f t="shared" si="7"/>
        <v>143400</v>
      </c>
      <c r="BD7" s="40">
        <f t="shared" si="8"/>
        <v>180240</v>
      </c>
      <c r="BE7" s="40">
        <f t="shared" si="9"/>
        <v>260002.56989000001</v>
      </c>
      <c r="BF7" s="32">
        <f t="shared" si="13"/>
        <v>827</v>
      </c>
      <c r="BG7" s="21">
        <v>0</v>
      </c>
      <c r="BH7" s="21">
        <f>5000+5000+4000+5500+4500</f>
        <v>24000</v>
      </c>
      <c r="BI7" s="21">
        <v>0</v>
      </c>
      <c r="BJ7" s="21">
        <v>0</v>
      </c>
      <c r="BK7" s="21">
        <v>0</v>
      </c>
      <c r="BL7" s="21">
        <f>AO7*AN7</f>
        <v>42300</v>
      </c>
      <c r="BM7" s="21"/>
      <c r="BN7" s="21"/>
      <c r="BO7" s="21"/>
      <c r="BP7" s="21">
        <v>5450</v>
      </c>
      <c r="BQ7" s="21">
        <v>1000</v>
      </c>
      <c r="BR7" s="21">
        <f>5*160+180+2*160</f>
        <v>1300</v>
      </c>
      <c r="BS7" s="21">
        <v>300</v>
      </c>
      <c r="BT7" s="21">
        <v>320</v>
      </c>
      <c r="BU7" s="21"/>
      <c r="BV7" s="21"/>
      <c r="BW7" s="21"/>
      <c r="BX7" s="21"/>
      <c r="BY7" s="21"/>
      <c r="BZ7" s="21">
        <v>1050</v>
      </c>
      <c r="CA7" s="21"/>
      <c r="CB7" s="21"/>
      <c r="CC7" s="21"/>
      <c r="CD7" s="21">
        <f>7296.3+8707.5</f>
        <v>16003.8</v>
      </c>
      <c r="CE7" s="21"/>
      <c r="CF7" s="21"/>
      <c r="CG7" s="21">
        <v>600</v>
      </c>
      <c r="CH7" s="21"/>
      <c r="CI7" s="18">
        <f t="shared" si="11"/>
        <v>26023.8</v>
      </c>
      <c r="CJ7" s="18"/>
      <c r="CK7" s="18"/>
      <c r="CL7" s="21"/>
      <c r="CM7" s="21"/>
      <c r="CN7" s="21"/>
      <c r="CO7" s="21"/>
      <c r="CP7" s="21"/>
    </row>
    <row r="8" spans="1:94" s="8" customFormat="1">
      <c r="A8" s="4">
        <v>7</v>
      </c>
      <c r="B8" s="135">
        <v>45345</v>
      </c>
      <c r="C8" s="136" t="s">
        <v>27</v>
      </c>
      <c r="D8" s="136" t="s">
        <v>28</v>
      </c>
      <c r="E8" s="136" t="s">
        <v>151</v>
      </c>
      <c r="F8" s="136" t="s">
        <v>24</v>
      </c>
      <c r="G8" s="136" t="s">
        <v>8</v>
      </c>
      <c r="H8" s="136">
        <v>365</v>
      </c>
      <c r="I8" s="136" t="s">
        <v>9</v>
      </c>
      <c r="K8" s="21">
        <f>28000+4000</f>
        <v>32000</v>
      </c>
      <c r="L8" s="21">
        <v>2800</v>
      </c>
      <c r="M8" s="21">
        <v>2000</v>
      </c>
      <c r="N8" s="21">
        <v>4000</v>
      </c>
      <c r="O8" s="21">
        <v>0</v>
      </c>
      <c r="P8" s="21">
        <v>0</v>
      </c>
      <c r="Q8" s="21">
        <v>0</v>
      </c>
      <c r="R8" s="21">
        <v>0</v>
      </c>
      <c r="S8" s="21"/>
      <c r="T8" s="21">
        <v>0</v>
      </c>
      <c r="U8" s="21">
        <v>0</v>
      </c>
      <c r="V8" s="21">
        <v>0</v>
      </c>
      <c r="W8" s="21"/>
      <c r="X8" s="21">
        <v>0</v>
      </c>
      <c r="Y8" s="21">
        <v>0</v>
      </c>
      <c r="Z8" s="21">
        <v>0</v>
      </c>
      <c r="AA8" s="21">
        <v>0</v>
      </c>
      <c r="AB8" s="43">
        <f t="shared" si="0"/>
        <v>40800</v>
      </c>
      <c r="AC8" s="43">
        <f t="shared" si="1"/>
        <v>40800</v>
      </c>
      <c r="AD8" s="21">
        <v>70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f t="shared" si="2"/>
        <v>70</v>
      </c>
      <c r="AK8" s="22">
        <f t="shared" si="3"/>
        <v>16240</v>
      </c>
      <c r="AL8" s="45">
        <f t="shared" si="4"/>
        <v>16240</v>
      </c>
      <c r="AM8" s="45">
        <f t="shared" si="5"/>
        <v>57040</v>
      </c>
      <c r="AN8" s="32">
        <v>232</v>
      </c>
      <c r="AO8" s="21">
        <v>127</v>
      </c>
      <c r="AP8" s="21">
        <v>10</v>
      </c>
      <c r="AQ8" s="21">
        <v>0</v>
      </c>
      <c r="AR8" s="21">
        <v>0</v>
      </c>
      <c r="AS8" s="21">
        <v>0</v>
      </c>
      <c r="AT8" s="21">
        <v>0</v>
      </c>
      <c r="AU8" s="21"/>
      <c r="AV8" s="4">
        <v>37</v>
      </c>
      <c r="AW8" s="21">
        <v>207</v>
      </c>
      <c r="AX8" s="21">
        <f t="shared" si="12"/>
        <v>7659</v>
      </c>
      <c r="AY8" s="21">
        <v>0</v>
      </c>
      <c r="AZ8" s="21">
        <v>0</v>
      </c>
      <c r="BA8" s="21">
        <v>0</v>
      </c>
      <c r="BB8" s="21">
        <f>AO8+AP8</f>
        <v>137</v>
      </c>
      <c r="BC8" s="23">
        <f t="shared" si="7"/>
        <v>48024</v>
      </c>
      <c r="BD8" s="40">
        <f t="shared" si="8"/>
        <v>88824</v>
      </c>
      <c r="BE8" s="40">
        <f t="shared" si="9"/>
        <v>96483</v>
      </c>
      <c r="BF8" s="32">
        <f t="shared" si="13"/>
        <v>269</v>
      </c>
      <c r="BG8" s="21">
        <v>0</v>
      </c>
      <c r="BH8" s="21">
        <v>0</v>
      </c>
      <c r="BI8" s="21">
        <f>BD8*10%</f>
        <v>8882.4</v>
      </c>
      <c r="BJ8" s="21">
        <v>0</v>
      </c>
      <c r="BK8" s="21">
        <v>0</v>
      </c>
      <c r="BL8" s="21">
        <f t="shared" ref="BL8:BL68" si="17">AO8*AN8</f>
        <v>29464</v>
      </c>
      <c r="BM8" s="21"/>
      <c r="BN8" s="21"/>
      <c r="BO8" s="21"/>
      <c r="BP8" s="21">
        <v>5450</v>
      </c>
      <c r="BQ8" s="21">
        <v>1000</v>
      </c>
      <c r="BR8" s="21">
        <v>1146</v>
      </c>
      <c r="BS8" s="21">
        <v>0</v>
      </c>
      <c r="BT8" s="21">
        <v>320</v>
      </c>
      <c r="BU8" s="21">
        <v>0</v>
      </c>
      <c r="BV8" s="21"/>
      <c r="BW8" s="21"/>
      <c r="BX8" s="21"/>
      <c r="BY8" s="21"/>
      <c r="BZ8" s="21">
        <v>1020</v>
      </c>
      <c r="CA8" s="21"/>
      <c r="CB8" s="21"/>
      <c r="CC8" s="21"/>
      <c r="CD8" s="21">
        <f>2138.46+3058.53</f>
        <v>5196.99</v>
      </c>
      <c r="CE8" s="21"/>
      <c r="CF8" s="21"/>
      <c r="CG8" s="21"/>
      <c r="CH8" s="21"/>
      <c r="CI8" s="18">
        <f t="shared" si="11"/>
        <v>14132.99</v>
      </c>
      <c r="CJ8" s="18"/>
      <c r="CK8" s="18"/>
      <c r="CL8" s="21"/>
      <c r="CM8" s="21"/>
      <c r="CN8" s="21"/>
      <c r="CO8" s="21"/>
      <c r="CP8" s="21"/>
    </row>
    <row r="9" spans="1:94" s="8" customFormat="1">
      <c r="A9" s="4">
        <v>8</v>
      </c>
      <c r="B9" s="135">
        <v>45346</v>
      </c>
      <c r="C9" s="136" t="s">
        <v>19</v>
      </c>
      <c r="D9" s="136" t="s">
        <v>20</v>
      </c>
      <c r="E9" s="136" t="s">
        <v>151</v>
      </c>
      <c r="F9" s="136" t="s">
        <v>24</v>
      </c>
      <c r="G9" s="136" t="s">
        <v>8</v>
      </c>
      <c r="H9" s="136">
        <v>316</v>
      </c>
      <c r="I9" s="136" t="s">
        <v>9</v>
      </c>
      <c r="K9" s="21">
        <f>14000+3800</f>
        <v>17800</v>
      </c>
      <c r="L9" s="21">
        <v>1400</v>
      </c>
      <c r="M9" s="21">
        <v>3000</v>
      </c>
      <c r="N9" s="21">
        <v>8200</v>
      </c>
      <c r="O9" s="21">
        <v>0</v>
      </c>
      <c r="P9" s="21">
        <v>0</v>
      </c>
      <c r="Q9" s="21">
        <v>0</v>
      </c>
      <c r="R9" s="21">
        <v>0</v>
      </c>
      <c r="S9" s="21"/>
      <c r="T9" s="21">
        <v>0</v>
      </c>
      <c r="U9" s="21">
        <v>0</v>
      </c>
      <c r="V9" s="21">
        <v>0</v>
      </c>
      <c r="W9" s="21"/>
      <c r="X9" s="21">
        <v>0</v>
      </c>
      <c r="Y9" s="21">
        <v>0</v>
      </c>
      <c r="Z9" s="21">
        <v>0</v>
      </c>
      <c r="AA9" s="21">
        <v>0</v>
      </c>
      <c r="AB9" s="43">
        <f t="shared" si="0"/>
        <v>30400</v>
      </c>
      <c r="AC9" s="43">
        <f t="shared" si="1"/>
        <v>30400</v>
      </c>
      <c r="AD9" s="21">
        <v>40</v>
      </c>
      <c r="AE9" s="21">
        <v>0</v>
      </c>
      <c r="AF9" s="21">
        <v>20458</v>
      </c>
      <c r="AG9" s="21">
        <v>0</v>
      </c>
      <c r="AH9" s="21">
        <v>0</v>
      </c>
      <c r="AI9" s="21">
        <v>0</v>
      </c>
      <c r="AJ9" s="21">
        <f t="shared" si="2"/>
        <v>40</v>
      </c>
      <c r="AK9" s="22">
        <f t="shared" si="3"/>
        <v>26000</v>
      </c>
      <c r="AL9" s="45">
        <f t="shared" si="4"/>
        <v>46458</v>
      </c>
      <c r="AM9" s="45">
        <f t="shared" si="5"/>
        <v>76858</v>
      </c>
      <c r="AN9" s="32">
        <v>650</v>
      </c>
      <c r="AO9" s="21">
        <v>90</v>
      </c>
      <c r="AP9" s="21">
        <v>0</v>
      </c>
      <c r="AQ9" s="21">
        <v>0</v>
      </c>
      <c r="AR9" s="21">
        <v>0</v>
      </c>
      <c r="AS9" s="21">
        <v>0</v>
      </c>
      <c r="AT9" s="21">
        <v>550</v>
      </c>
      <c r="AU9" s="21"/>
      <c r="AV9" s="4">
        <v>122</v>
      </c>
      <c r="AW9" s="21">
        <v>145.52147500000001</v>
      </c>
      <c r="AX9" s="21">
        <f t="shared" si="12"/>
        <v>17753.61995</v>
      </c>
      <c r="AY9" s="21">
        <v>1157.6500000000001</v>
      </c>
      <c r="AZ9" s="21">
        <v>513.20000000000005</v>
      </c>
      <c r="BA9" s="21">
        <v>0</v>
      </c>
      <c r="BB9" s="21">
        <f t="shared" si="16"/>
        <v>90</v>
      </c>
      <c r="BC9" s="23">
        <f t="shared" si="7"/>
        <v>84500</v>
      </c>
      <c r="BD9" s="40">
        <f t="shared" si="8"/>
        <v>114900</v>
      </c>
      <c r="BE9" s="40">
        <f t="shared" si="9"/>
        <v>155332.46995</v>
      </c>
      <c r="BF9" s="32">
        <f t="shared" si="13"/>
        <v>772</v>
      </c>
      <c r="BG9" s="21">
        <f t="shared" si="14"/>
        <v>15533.246995000001</v>
      </c>
      <c r="BH9" s="21">
        <v>0</v>
      </c>
      <c r="BI9" s="21">
        <v>0</v>
      </c>
      <c r="BJ9" s="21">
        <v>0</v>
      </c>
      <c r="BK9" s="21">
        <v>0</v>
      </c>
      <c r="BL9" s="21">
        <f t="shared" si="17"/>
        <v>58500</v>
      </c>
      <c r="BM9" s="21"/>
      <c r="BN9" s="21"/>
      <c r="BO9" s="21">
        <f>180+250</f>
        <v>430</v>
      </c>
      <c r="BP9" s="21">
        <v>5450</v>
      </c>
      <c r="BQ9" s="21">
        <v>1000</v>
      </c>
      <c r="BR9" s="21">
        <v>1780</v>
      </c>
      <c r="BS9" s="21"/>
      <c r="BT9" s="21">
        <v>320</v>
      </c>
      <c r="BU9" s="21"/>
      <c r="BV9" s="21"/>
      <c r="BW9" s="21"/>
      <c r="BX9" s="21"/>
      <c r="BY9" s="21"/>
      <c r="BZ9" s="21">
        <f>1170+710</f>
        <v>1880</v>
      </c>
      <c r="CA9" s="21"/>
      <c r="CB9" s="21">
        <v>220</v>
      </c>
      <c r="CC9" s="21"/>
      <c r="CD9" s="21">
        <f>6323.46+7546.5</f>
        <v>13869.96</v>
      </c>
      <c r="CE9" s="21"/>
      <c r="CF9" s="21"/>
      <c r="CG9" s="21">
        <v>600</v>
      </c>
      <c r="CH9" s="21"/>
      <c r="CI9" s="18">
        <f t="shared" si="11"/>
        <v>25549.96</v>
      </c>
      <c r="CJ9" s="18"/>
      <c r="CK9" s="18"/>
      <c r="CL9" s="21"/>
      <c r="CM9" s="21">
        <f>36+36+120+90</f>
        <v>282</v>
      </c>
      <c r="CN9" s="21"/>
      <c r="CO9" s="21"/>
      <c r="CP9" s="21"/>
    </row>
    <row r="10" spans="1:94" s="8" customFormat="1">
      <c r="A10" s="4">
        <v>9</v>
      </c>
      <c r="B10" s="135">
        <v>45353</v>
      </c>
      <c r="C10" s="136" t="s">
        <v>46</v>
      </c>
      <c r="D10" s="136" t="s">
        <v>20</v>
      </c>
      <c r="E10" s="136" t="s">
        <v>151</v>
      </c>
      <c r="F10" s="136" t="s">
        <v>24</v>
      </c>
      <c r="G10" s="136" t="s">
        <v>8</v>
      </c>
      <c r="H10" s="136">
        <v>190</v>
      </c>
      <c r="I10" s="136" t="s">
        <v>9</v>
      </c>
      <c r="K10" s="21">
        <v>24000</v>
      </c>
      <c r="L10" s="21">
        <v>2400</v>
      </c>
      <c r="M10" s="21">
        <v>2600</v>
      </c>
      <c r="N10" s="21">
        <v>7000</v>
      </c>
      <c r="O10" s="21">
        <v>0</v>
      </c>
      <c r="P10" s="21">
        <v>0</v>
      </c>
      <c r="Q10" s="21">
        <v>0</v>
      </c>
      <c r="R10" s="21">
        <v>0</v>
      </c>
      <c r="S10" s="21"/>
      <c r="T10" s="21">
        <v>0</v>
      </c>
      <c r="U10" s="21">
        <v>1125</v>
      </c>
      <c r="V10" s="21">
        <v>0</v>
      </c>
      <c r="W10" s="21"/>
      <c r="X10" s="21">
        <v>0</v>
      </c>
      <c r="Y10" s="21">
        <v>0</v>
      </c>
      <c r="Z10" s="21">
        <v>0</v>
      </c>
      <c r="AA10" s="21">
        <v>0</v>
      </c>
      <c r="AB10" s="43">
        <f t="shared" si="0"/>
        <v>36000</v>
      </c>
      <c r="AC10" s="43">
        <f t="shared" si="1"/>
        <v>37125</v>
      </c>
      <c r="AD10" s="21">
        <v>35</v>
      </c>
      <c r="AE10" s="21">
        <v>0</v>
      </c>
      <c r="AF10" s="21">
        <v>11660</v>
      </c>
      <c r="AG10" s="21">
        <v>250</v>
      </c>
      <c r="AH10" s="21"/>
      <c r="AI10" s="21"/>
      <c r="AJ10" s="21">
        <f t="shared" si="2"/>
        <v>35</v>
      </c>
      <c r="AK10" s="22">
        <f t="shared" si="3"/>
        <v>14000</v>
      </c>
      <c r="AL10" s="45">
        <f t="shared" si="4"/>
        <v>25910</v>
      </c>
      <c r="AM10" s="45">
        <f t="shared" si="5"/>
        <v>63035</v>
      </c>
      <c r="AN10" s="32">
        <v>400</v>
      </c>
      <c r="AO10" s="21">
        <v>55</v>
      </c>
      <c r="AP10" s="21">
        <v>0</v>
      </c>
      <c r="AQ10" s="21"/>
      <c r="AR10" s="21">
        <v>8631</v>
      </c>
      <c r="AS10" s="21">
        <v>0</v>
      </c>
      <c r="AT10" s="21">
        <v>1000</v>
      </c>
      <c r="AU10" s="21"/>
      <c r="AV10" s="25">
        <v>44</v>
      </c>
      <c r="AW10" s="21">
        <v>130</v>
      </c>
      <c r="AX10" s="21">
        <f t="shared" si="12"/>
        <v>5720</v>
      </c>
      <c r="AY10" s="21">
        <f>9695</f>
        <v>9695</v>
      </c>
      <c r="AZ10" s="21">
        <f>1003.67</f>
        <v>1003.67</v>
      </c>
      <c r="BA10" s="21">
        <v>0</v>
      </c>
      <c r="BB10" s="21">
        <f t="shared" ref="BB10:BB11" si="18">AO10+AP10*AN10</f>
        <v>55</v>
      </c>
      <c r="BC10" s="23">
        <f t="shared" si="7"/>
        <v>36000</v>
      </c>
      <c r="BD10" s="40">
        <f t="shared" si="8"/>
        <v>72000</v>
      </c>
      <c r="BE10" s="40">
        <f t="shared" si="9"/>
        <v>111084.67</v>
      </c>
      <c r="BF10" s="32">
        <f t="shared" si="13"/>
        <v>444</v>
      </c>
      <c r="BG10" s="21">
        <f t="shared" si="14"/>
        <v>11108.467000000001</v>
      </c>
      <c r="BH10" s="21">
        <v>0</v>
      </c>
      <c r="BI10" s="21">
        <v>0</v>
      </c>
      <c r="BJ10" s="21">
        <v>0</v>
      </c>
      <c r="BK10" s="21">
        <v>0</v>
      </c>
      <c r="BL10" s="21">
        <f>AO10*AN10</f>
        <v>22000</v>
      </c>
      <c r="BM10" s="21"/>
      <c r="BN10" s="21"/>
      <c r="BO10" s="21"/>
      <c r="BP10" s="21">
        <v>5450</v>
      </c>
      <c r="BQ10" s="21">
        <v>0</v>
      </c>
      <c r="BR10" s="21">
        <v>1540</v>
      </c>
      <c r="BS10" s="21">
        <v>0</v>
      </c>
      <c r="BT10" s="21">
        <v>320</v>
      </c>
      <c r="BU10" s="21">
        <v>0</v>
      </c>
      <c r="BV10" s="21"/>
      <c r="BW10" s="21"/>
      <c r="BX10" s="21"/>
      <c r="BY10" s="21"/>
      <c r="BZ10" s="21">
        <v>1420</v>
      </c>
      <c r="CA10" s="21"/>
      <c r="CB10" s="21"/>
      <c r="CC10" s="21"/>
      <c r="CD10" s="21">
        <f>5116.5+3648.15</f>
        <v>8764.65</v>
      </c>
      <c r="CE10" s="21"/>
      <c r="CF10" s="21"/>
      <c r="CG10" s="21"/>
      <c r="CH10" s="21"/>
      <c r="CI10" s="18">
        <f t="shared" si="11"/>
        <v>17494.650000000001</v>
      </c>
      <c r="CJ10" s="18"/>
      <c r="CK10" s="18"/>
      <c r="CL10" s="21"/>
      <c r="CM10" s="21">
        <v>180</v>
      </c>
      <c r="CN10" s="21"/>
      <c r="CO10" s="21"/>
      <c r="CP10" s="21"/>
    </row>
    <row r="11" spans="1:94" s="8" customFormat="1">
      <c r="A11" s="4">
        <v>10</v>
      </c>
      <c r="B11" s="135">
        <v>45359</v>
      </c>
      <c r="C11" s="136" t="s">
        <v>16</v>
      </c>
      <c r="D11" s="136" t="s">
        <v>15</v>
      </c>
      <c r="E11" s="136" t="s">
        <v>151</v>
      </c>
      <c r="F11" s="136" t="s">
        <v>24</v>
      </c>
      <c r="G11" s="136" t="s">
        <v>8</v>
      </c>
      <c r="H11" s="136">
        <v>303</v>
      </c>
      <c r="I11" s="136" t="s">
        <v>9</v>
      </c>
      <c r="K11" s="21">
        <v>15000</v>
      </c>
      <c r="L11" s="21">
        <v>1500</v>
      </c>
      <c r="M11" s="21">
        <v>1500</v>
      </c>
      <c r="N11" s="21">
        <v>6000</v>
      </c>
      <c r="O11" s="21">
        <v>0</v>
      </c>
      <c r="P11" s="21">
        <v>0</v>
      </c>
      <c r="Q11" s="21">
        <v>0</v>
      </c>
      <c r="R11" s="21">
        <v>0</v>
      </c>
      <c r="S11" s="21"/>
      <c r="T11" s="21">
        <v>0</v>
      </c>
      <c r="U11" s="21">
        <v>0</v>
      </c>
      <c r="V11" s="21">
        <v>2000</v>
      </c>
      <c r="W11" s="21"/>
      <c r="X11" s="21">
        <v>0</v>
      </c>
      <c r="Y11" s="21">
        <v>0</v>
      </c>
      <c r="Z11" s="21">
        <v>0</v>
      </c>
      <c r="AA11" s="21">
        <v>0</v>
      </c>
      <c r="AB11" s="43">
        <f t="shared" si="0"/>
        <v>24000</v>
      </c>
      <c r="AC11" s="43">
        <f t="shared" si="1"/>
        <v>26000</v>
      </c>
      <c r="AD11" s="21">
        <v>40</v>
      </c>
      <c r="AE11" s="21">
        <v>53</v>
      </c>
      <c r="AF11" s="21">
        <v>0</v>
      </c>
      <c r="AG11" s="21">
        <v>0</v>
      </c>
      <c r="AH11" s="21">
        <v>0</v>
      </c>
      <c r="AI11" s="21">
        <v>0</v>
      </c>
      <c r="AJ11" s="21">
        <f t="shared" si="2"/>
        <v>93</v>
      </c>
      <c r="AK11" s="22">
        <f t="shared" si="3"/>
        <v>51150</v>
      </c>
      <c r="AL11" s="45">
        <f t="shared" si="4"/>
        <v>51150</v>
      </c>
      <c r="AM11" s="45">
        <f t="shared" si="5"/>
        <v>77150</v>
      </c>
      <c r="AN11" s="32">
        <v>550</v>
      </c>
      <c r="AO11" s="21">
        <v>102</v>
      </c>
      <c r="AP11" s="21">
        <v>0</v>
      </c>
      <c r="AQ11" s="21">
        <v>0</v>
      </c>
      <c r="AR11" s="21">
        <v>6336</v>
      </c>
      <c r="AS11" s="21">
        <v>0</v>
      </c>
      <c r="AT11" s="21">
        <v>0</v>
      </c>
      <c r="AU11" s="21"/>
      <c r="AV11" s="4">
        <v>90</v>
      </c>
      <c r="AW11" s="21">
        <v>195</v>
      </c>
      <c r="AX11" s="21">
        <f t="shared" si="12"/>
        <v>17550</v>
      </c>
      <c r="AY11" s="21">
        <v>0</v>
      </c>
      <c r="AZ11" s="21">
        <v>0</v>
      </c>
      <c r="BA11" s="21">
        <v>0</v>
      </c>
      <c r="BB11" s="21">
        <f t="shared" si="18"/>
        <v>102</v>
      </c>
      <c r="BC11" s="23">
        <f t="shared" si="7"/>
        <v>107250</v>
      </c>
      <c r="BD11" s="40">
        <f t="shared" si="8"/>
        <v>131250</v>
      </c>
      <c r="BE11" s="40">
        <f t="shared" si="9"/>
        <v>157136</v>
      </c>
      <c r="BF11" s="32">
        <f t="shared" si="13"/>
        <v>640</v>
      </c>
      <c r="BG11" s="21">
        <v>0</v>
      </c>
      <c r="BH11" s="21">
        <v>0</v>
      </c>
      <c r="BI11" s="21"/>
      <c r="BJ11" s="21">
        <f>BE11*10%</f>
        <v>15713.6</v>
      </c>
      <c r="BK11" s="21">
        <v>0</v>
      </c>
      <c r="BL11" s="21">
        <f>AO11*AN11</f>
        <v>56100</v>
      </c>
      <c r="BM11" s="21"/>
      <c r="BN11" s="21"/>
      <c r="BO11" s="21">
        <v>0</v>
      </c>
      <c r="BP11" s="21">
        <v>7450</v>
      </c>
      <c r="BQ11" s="21">
        <v>1000</v>
      </c>
      <c r="BR11" s="21">
        <v>2140</v>
      </c>
      <c r="BS11" s="21">
        <v>0</v>
      </c>
      <c r="BT11" s="21">
        <v>320</v>
      </c>
      <c r="BU11" s="21">
        <v>0</v>
      </c>
      <c r="BV11" s="21"/>
      <c r="BW11" s="21"/>
      <c r="BX11" s="21"/>
      <c r="BY11" s="21"/>
      <c r="BZ11" s="21">
        <v>1020</v>
      </c>
      <c r="CA11" s="21"/>
      <c r="CB11" s="21">
        <f>25+1975</f>
        <v>2000</v>
      </c>
      <c r="CC11" s="21"/>
      <c r="CD11" s="21">
        <f>5269.55+7390.5</f>
        <v>12660.05</v>
      </c>
      <c r="CE11" s="21"/>
      <c r="CF11" s="21"/>
      <c r="CG11" s="21"/>
      <c r="CH11" s="21"/>
      <c r="CI11" s="18">
        <f t="shared" si="11"/>
        <v>26590.05</v>
      </c>
      <c r="CJ11" s="18"/>
      <c r="CK11" s="18"/>
      <c r="CL11" s="21"/>
      <c r="CM11" s="21"/>
      <c r="CN11" s="21"/>
      <c r="CO11" s="21"/>
      <c r="CP11" s="21"/>
    </row>
    <row r="12" spans="1:94" s="8" customFormat="1" ht="15.75">
      <c r="A12" s="4">
        <v>11</v>
      </c>
      <c r="B12" s="135">
        <v>45360</v>
      </c>
      <c r="C12" s="136" t="s">
        <v>45</v>
      </c>
      <c r="D12" s="136" t="s">
        <v>20</v>
      </c>
      <c r="E12" s="136" t="s">
        <v>151</v>
      </c>
      <c r="F12" s="136" t="s">
        <v>24</v>
      </c>
      <c r="G12" s="136" t="s">
        <v>8</v>
      </c>
      <c r="H12" s="136">
        <v>187</v>
      </c>
      <c r="I12" s="136" t="s">
        <v>9</v>
      </c>
      <c r="K12" s="21">
        <v>24000</v>
      </c>
      <c r="L12" s="21">
        <v>2400</v>
      </c>
      <c r="M12" s="21">
        <v>2600</v>
      </c>
      <c r="N12" s="21">
        <v>7000</v>
      </c>
      <c r="O12" s="21">
        <v>0</v>
      </c>
      <c r="P12" s="21">
        <v>0</v>
      </c>
      <c r="Q12" s="21">
        <v>0</v>
      </c>
      <c r="R12" s="21">
        <v>0</v>
      </c>
      <c r="S12" s="21"/>
      <c r="T12" s="21">
        <v>0</v>
      </c>
      <c r="U12" s="21">
        <v>1125</v>
      </c>
      <c r="V12" s="21">
        <v>0</v>
      </c>
      <c r="W12" s="21"/>
      <c r="X12" s="21">
        <v>0</v>
      </c>
      <c r="Y12" s="21">
        <v>1000</v>
      </c>
      <c r="Z12" s="21">
        <v>0</v>
      </c>
      <c r="AA12" s="21">
        <v>0</v>
      </c>
      <c r="AB12" s="43">
        <f>K12+L12+M12+N12+O12+P12+Q12+R12+T12</f>
        <v>36000</v>
      </c>
      <c r="AC12" s="43">
        <f t="shared" si="1"/>
        <v>38125</v>
      </c>
      <c r="AD12" s="21">
        <v>55</v>
      </c>
      <c r="AE12" s="21">
        <v>0</v>
      </c>
      <c r="AF12" s="21">
        <f>760*26.5</f>
        <v>20140</v>
      </c>
      <c r="AG12" s="21">
        <f>4*250</f>
        <v>1000</v>
      </c>
      <c r="AH12" s="21"/>
      <c r="AI12" s="21"/>
      <c r="AJ12" s="21">
        <f t="shared" si="2"/>
        <v>55</v>
      </c>
      <c r="AK12" s="22">
        <f t="shared" si="3"/>
        <v>38500</v>
      </c>
      <c r="AL12" s="45">
        <f t="shared" si="4"/>
        <v>59640</v>
      </c>
      <c r="AM12" s="45">
        <f t="shared" si="5"/>
        <v>97765</v>
      </c>
      <c r="AN12" s="32">
        <v>700</v>
      </c>
      <c r="AO12" s="21">
        <v>45</v>
      </c>
      <c r="AP12" s="21">
        <v>0</v>
      </c>
      <c r="AQ12" s="21"/>
      <c r="AR12" s="21">
        <v>0</v>
      </c>
      <c r="AS12" s="21">
        <v>1930.5</v>
      </c>
      <c r="AT12" s="21"/>
      <c r="AU12" s="21"/>
      <c r="AV12" s="26">
        <f>60</f>
        <v>60</v>
      </c>
      <c r="AW12" s="21">
        <v>130</v>
      </c>
      <c r="AX12" s="21">
        <f>AV12*AW12</f>
        <v>7800</v>
      </c>
      <c r="AY12" s="31">
        <f>17752</f>
        <v>17752</v>
      </c>
      <c r="AZ12" s="31">
        <v>1978.2</v>
      </c>
      <c r="BA12" s="21"/>
      <c r="BB12" s="21">
        <f>AO12+AP12*AN12</f>
        <v>45</v>
      </c>
      <c r="BC12" s="23">
        <f t="shared" si="7"/>
        <v>70000</v>
      </c>
      <c r="BD12" s="40">
        <f t="shared" si="8"/>
        <v>106000</v>
      </c>
      <c r="BE12" s="40">
        <f t="shared" si="9"/>
        <v>158725.70000000001</v>
      </c>
      <c r="BF12" s="32">
        <f t="shared" si="13"/>
        <v>760</v>
      </c>
      <c r="BG12" s="21">
        <f>BE12*10%</f>
        <v>15872.570000000002</v>
      </c>
      <c r="BH12" s="21">
        <v>0</v>
      </c>
      <c r="BI12" s="21">
        <v>0</v>
      </c>
      <c r="BJ12" s="21">
        <v>0</v>
      </c>
      <c r="BK12" s="21">
        <v>0</v>
      </c>
      <c r="BL12" s="21">
        <f>AO12*AN12</f>
        <v>31500</v>
      </c>
      <c r="BM12" s="21"/>
      <c r="BN12" s="21"/>
      <c r="BO12" s="21">
        <v>0</v>
      </c>
      <c r="BP12" s="21">
        <v>5450</v>
      </c>
      <c r="BQ12" s="21">
        <v>0</v>
      </c>
      <c r="BR12" s="21">
        <v>2140</v>
      </c>
      <c r="BS12" s="21">
        <v>0</v>
      </c>
      <c r="BT12" s="21">
        <v>0</v>
      </c>
      <c r="BU12" s="21">
        <v>0</v>
      </c>
      <c r="BV12" s="21"/>
      <c r="BW12" s="21"/>
      <c r="BX12" s="21"/>
      <c r="BY12" s="21"/>
      <c r="BZ12" s="21">
        <v>800</v>
      </c>
      <c r="CA12" s="21">
        <v>3050</v>
      </c>
      <c r="CB12" s="21"/>
      <c r="CC12" s="21"/>
      <c r="CD12" s="21">
        <f>8641.2+6036.15</f>
        <v>14677.35</v>
      </c>
      <c r="CE12" s="21"/>
      <c r="CF12" s="21"/>
      <c r="CG12" s="21"/>
      <c r="CH12" s="21"/>
      <c r="CI12" s="18">
        <f t="shared" si="11"/>
        <v>26117.35</v>
      </c>
      <c r="CJ12" s="18"/>
      <c r="CK12" s="18"/>
      <c r="CL12" s="21"/>
      <c r="CM12" s="21">
        <v>72</v>
      </c>
      <c r="CN12" s="21"/>
      <c r="CO12" s="21"/>
      <c r="CP12" s="21"/>
    </row>
    <row r="13" spans="1:94" s="8" customFormat="1">
      <c r="A13" s="4">
        <v>12</v>
      </c>
      <c r="B13" s="135">
        <v>45362</v>
      </c>
      <c r="C13" s="136" t="s">
        <v>35</v>
      </c>
      <c r="D13" s="136" t="s">
        <v>36</v>
      </c>
      <c r="E13" s="136" t="s">
        <v>151</v>
      </c>
      <c r="F13" s="136" t="s">
        <v>37</v>
      </c>
      <c r="G13" s="136" t="s">
        <v>8</v>
      </c>
      <c r="H13" s="136">
        <v>382</v>
      </c>
      <c r="I13" s="136" t="s">
        <v>9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/>
      <c r="T13" s="21">
        <v>0</v>
      </c>
      <c r="U13" s="21">
        <v>0</v>
      </c>
      <c r="V13" s="21">
        <v>0</v>
      </c>
      <c r="W13" s="21"/>
      <c r="X13" s="21">
        <v>0</v>
      </c>
      <c r="Y13" s="21">
        <v>0</v>
      </c>
      <c r="Z13" s="21">
        <v>0</v>
      </c>
      <c r="AA13" s="4">
        <v>0</v>
      </c>
      <c r="AB13" s="43">
        <f t="shared" ref="AB13:AB51" si="19">K13+L13+M13+N13+O13+P13+Q13+R13+T13</f>
        <v>0</v>
      </c>
      <c r="AC13" s="43">
        <f t="shared" si="1"/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f t="shared" si="2"/>
        <v>0</v>
      </c>
      <c r="AK13" s="22">
        <f t="shared" si="3"/>
        <v>0</v>
      </c>
      <c r="AL13" s="45">
        <f t="shared" si="4"/>
        <v>0</v>
      </c>
      <c r="AM13" s="45">
        <f t="shared" si="5"/>
        <v>0</v>
      </c>
      <c r="AN13" s="32">
        <v>500</v>
      </c>
      <c r="AO13" s="21">
        <v>87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/>
      <c r="AV13" s="4">
        <v>0</v>
      </c>
      <c r="AW13" s="21">
        <v>0</v>
      </c>
      <c r="AX13" s="21">
        <f t="shared" ref="AX13:AX44" si="20">AV13*AW13</f>
        <v>0</v>
      </c>
      <c r="AY13" s="21">
        <v>0</v>
      </c>
      <c r="AZ13" s="21">
        <v>0</v>
      </c>
      <c r="BA13" s="21">
        <v>0</v>
      </c>
      <c r="BB13" s="21">
        <f t="shared" ref="BB13:BB16" si="21">AO13+AP13*AN13</f>
        <v>87</v>
      </c>
      <c r="BC13" s="23">
        <f t="shared" si="7"/>
        <v>43500</v>
      </c>
      <c r="BD13" s="40">
        <f t="shared" si="8"/>
        <v>43500</v>
      </c>
      <c r="BE13" s="40">
        <f t="shared" si="9"/>
        <v>43500</v>
      </c>
      <c r="BF13" s="32">
        <f t="shared" si="13"/>
        <v>500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f t="shared" si="17"/>
        <v>43500</v>
      </c>
      <c r="BM13" s="21"/>
      <c r="BN13" s="21"/>
      <c r="BO13" s="21">
        <v>0</v>
      </c>
      <c r="BP13" s="21">
        <v>1500</v>
      </c>
      <c r="BQ13" s="21">
        <v>0</v>
      </c>
      <c r="BR13" s="21">
        <f>2*160+180</f>
        <v>500</v>
      </c>
      <c r="BS13" s="21"/>
      <c r="BT13" s="21">
        <v>0</v>
      </c>
      <c r="BU13" s="21">
        <v>0</v>
      </c>
      <c r="BV13" s="21"/>
      <c r="BW13" s="21"/>
      <c r="BX13" s="21"/>
      <c r="BY13" s="21"/>
      <c r="BZ13" s="21">
        <v>1210</v>
      </c>
      <c r="CA13" s="21"/>
      <c r="CB13" s="21"/>
      <c r="CC13" s="21"/>
      <c r="CD13" s="21">
        <v>3348.97</v>
      </c>
      <c r="CE13" s="21"/>
      <c r="CF13" s="21"/>
      <c r="CG13" s="21">
        <f>420+300</f>
        <v>720</v>
      </c>
      <c r="CH13" s="21"/>
      <c r="CI13" s="18">
        <f t="shared" si="11"/>
        <v>7278.9699999999993</v>
      </c>
      <c r="CJ13" s="18"/>
      <c r="CK13" s="18"/>
      <c r="CL13" s="21"/>
      <c r="CM13" s="21"/>
      <c r="CN13" s="21"/>
      <c r="CO13" s="21"/>
      <c r="CP13" s="21"/>
    </row>
    <row r="14" spans="1:94" s="8" customFormat="1">
      <c r="A14" s="4">
        <v>13</v>
      </c>
      <c r="B14" s="154">
        <v>45365</v>
      </c>
      <c r="C14" s="155" t="s">
        <v>33</v>
      </c>
      <c r="D14" s="155" t="s">
        <v>34</v>
      </c>
      <c r="E14" s="155" t="s">
        <v>151</v>
      </c>
      <c r="F14" s="155" t="s">
        <v>13</v>
      </c>
      <c r="G14" s="155" t="s">
        <v>8</v>
      </c>
      <c r="H14" s="155">
        <v>376</v>
      </c>
      <c r="I14" s="155" t="s">
        <v>9</v>
      </c>
      <c r="K14" s="21">
        <v>21023</v>
      </c>
      <c r="L14" s="21">
        <v>0</v>
      </c>
      <c r="M14" s="21">
        <v>1800</v>
      </c>
      <c r="N14" s="21">
        <v>5500</v>
      </c>
      <c r="O14" s="21">
        <f>440+660+440</f>
        <v>1540</v>
      </c>
      <c r="P14" s="21">
        <v>550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4060.33</v>
      </c>
      <c r="AA14" s="4"/>
      <c r="AB14" s="43">
        <f t="shared" si="19"/>
        <v>30413</v>
      </c>
      <c r="AC14" s="43">
        <f t="shared" si="1"/>
        <v>34473.33</v>
      </c>
      <c r="AD14" s="21">
        <v>30.18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f t="shared" si="2"/>
        <v>30.18</v>
      </c>
      <c r="AK14" s="22">
        <f t="shared" si="3"/>
        <v>11166.6</v>
      </c>
      <c r="AL14" s="45">
        <f t="shared" si="4"/>
        <v>11166.6</v>
      </c>
      <c r="AM14" s="45">
        <f t="shared" si="5"/>
        <v>45639.93</v>
      </c>
      <c r="AN14" s="32">
        <v>370</v>
      </c>
      <c r="AO14" s="21">
        <f>91.11+44.3</f>
        <v>135.41</v>
      </c>
      <c r="AP14" s="21">
        <v>0</v>
      </c>
      <c r="AQ14" s="21">
        <v>4000</v>
      </c>
      <c r="AR14" s="21">
        <v>0</v>
      </c>
      <c r="AS14" s="21">
        <v>0</v>
      </c>
      <c r="AT14" s="21">
        <v>0</v>
      </c>
      <c r="AU14" s="21">
        <v>0</v>
      </c>
      <c r="AV14" s="4">
        <v>0</v>
      </c>
      <c r="AW14" s="21">
        <v>0</v>
      </c>
      <c r="AX14" s="21">
        <f t="shared" si="20"/>
        <v>0</v>
      </c>
      <c r="AY14" s="21">
        <v>0</v>
      </c>
      <c r="AZ14" s="21"/>
      <c r="BA14" s="21">
        <v>10436.299999999999</v>
      </c>
      <c r="BB14" s="21">
        <f t="shared" si="21"/>
        <v>135.41</v>
      </c>
      <c r="BC14" s="23">
        <f t="shared" si="7"/>
        <v>65268.3</v>
      </c>
      <c r="BD14" s="40">
        <f t="shared" si="8"/>
        <v>95681.3</v>
      </c>
      <c r="BE14" s="40">
        <f t="shared" si="9"/>
        <v>110177.93000000001</v>
      </c>
      <c r="BF14" s="32">
        <f t="shared" si="13"/>
        <v>370</v>
      </c>
      <c r="BG14" s="21">
        <f t="shared" si="14"/>
        <v>11017.793000000001</v>
      </c>
      <c r="BH14" s="21">
        <v>0</v>
      </c>
      <c r="BI14" s="21">
        <v>0</v>
      </c>
      <c r="BJ14" s="21">
        <v>0</v>
      </c>
      <c r="BK14" s="21">
        <v>0</v>
      </c>
      <c r="BL14" s="21">
        <f t="shared" si="17"/>
        <v>50101.7</v>
      </c>
      <c r="BM14" s="21"/>
      <c r="BN14" s="21"/>
      <c r="BO14" s="21"/>
      <c r="BP14" s="21">
        <v>3700</v>
      </c>
      <c r="BQ14" s="21">
        <v>0</v>
      </c>
      <c r="BR14" s="21">
        <f>180+4*160</f>
        <v>820</v>
      </c>
      <c r="BS14" s="21"/>
      <c r="BT14" s="21">
        <v>640</v>
      </c>
      <c r="BU14" s="21">
        <v>0</v>
      </c>
      <c r="BV14" s="21"/>
      <c r="BW14" s="21"/>
      <c r="BX14" s="21"/>
      <c r="BY14" s="21"/>
      <c r="BZ14" s="21"/>
      <c r="CA14" s="21"/>
      <c r="CB14" s="21"/>
      <c r="CC14" s="21"/>
      <c r="CD14" s="21">
        <f>2592.65+2880.4</f>
        <v>5473.05</v>
      </c>
      <c r="CE14" s="21"/>
      <c r="CF14" s="21"/>
      <c r="CG14" s="21"/>
      <c r="CH14" s="21">
        <v>3000</v>
      </c>
      <c r="CI14" s="18">
        <f t="shared" si="11"/>
        <v>13633.05</v>
      </c>
      <c r="CJ14" s="18"/>
      <c r="CK14" s="18"/>
      <c r="CL14" s="21"/>
      <c r="CM14" s="21"/>
      <c r="CN14" s="21"/>
      <c r="CO14" s="21"/>
      <c r="CP14" s="21"/>
    </row>
    <row r="15" spans="1:94" s="8" customFormat="1">
      <c r="A15" s="4">
        <v>14</v>
      </c>
      <c r="B15" s="36">
        <v>45374</v>
      </c>
      <c r="C15" s="35" t="s">
        <v>67</v>
      </c>
      <c r="D15" s="35" t="s">
        <v>65</v>
      </c>
      <c r="E15" s="3"/>
      <c r="F15" s="35" t="s">
        <v>24</v>
      </c>
      <c r="G15" s="35" t="s">
        <v>8</v>
      </c>
      <c r="H15" s="35">
        <v>175</v>
      </c>
      <c r="I15" s="35" t="s">
        <v>9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4"/>
      <c r="AB15" s="43">
        <f t="shared" si="19"/>
        <v>0</v>
      </c>
      <c r="AC15" s="43">
        <f t="shared" si="1"/>
        <v>0</v>
      </c>
      <c r="AD15" s="21"/>
      <c r="AE15" s="21"/>
      <c r="AF15" s="21"/>
      <c r="AG15" s="21"/>
      <c r="AH15" s="21"/>
      <c r="AI15" s="21"/>
      <c r="AJ15" s="21">
        <f t="shared" si="2"/>
        <v>0</v>
      </c>
      <c r="AK15" s="22">
        <f t="shared" si="3"/>
        <v>0</v>
      </c>
      <c r="AL15" s="45">
        <f t="shared" si="4"/>
        <v>0</v>
      </c>
      <c r="AM15" s="45">
        <f t="shared" si="5"/>
        <v>0</v>
      </c>
      <c r="AN15" s="32"/>
      <c r="AO15" s="21"/>
      <c r="AP15" s="21"/>
      <c r="AQ15" s="21"/>
      <c r="AR15" s="21"/>
      <c r="AS15" s="21"/>
      <c r="AT15" s="21"/>
      <c r="AU15" s="21"/>
      <c r="AV15" s="4"/>
      <c r="AW15" s="21"/>
      <c r="AX15" s="21">
        <f t="shared" si="20"/>
        <v>0</v>
      </c>
      <c r="AY15" s="21"/>
      <c r="AZ15" s="21"/>
      <c r="BA15" s="21"/>
      <c r="BB15" s="21">
        <f t="shared" si="21"/>
        <v>0</v>
      </c>
      <c r="BC15" s="23">
        <f t="shared" si="7"/>
        <v>0</v>
      </c>
      <c r="BD15" s="40">
        <f t="shared" si="8"/>
        <v>0</v>
      </c>
      <c r="BE15" s="40">
        <f t="shared" si="9"/>
        <v>0</v>
      </c>
      <c r="BF15" s="32">
        <f t="shared" si="13"/>
        <v>0</v>
      </c>
      <c r="BG15" s="21">
        <f t="shared" si="14"/>
        <v>0</v>
      </c>
      <c r="BH15" s="21"/>
      <c r="BI15" s="21"/>
      <c r="BJ15" s="21">
        <v>0</v>
      </c>
      <c r="BK15" s="21"/>
      <c r="BL15" s="21">
        <f t="shared" si="17"/>
        <v>0</v>
      </c>
      <c r="BM15" s="21"/>
      <c r="BN15" s="21"/>
      <c r="BO15" s="21"/>
      <c r="BP15" s="21"/>
      <c r="BQ15" s="21">
        <v>0</v>
      </c>
      <c r="BR15" s="21"/>
      <c r="BS15" s="21"/>
      <c r="BT15" s="21">
        <v>0</v>
      </c>
      <c r="BU15" s="21">
        <v>0</v>
      </c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18">
        <f t="shared" si="11"/>
        <v>0</v>
      </c>
      <c r="CJ15" s="18"/>
      <c r="CK15" s="18"/>
      <c r="CL15" s="21"/>
      <c r="CM15" s="21"/>
      <c r="CN15" s="21"/>
      <c r="CO15" s="21"/>
      <c r="CP15" s="21"/>
    </row>
    <row r="16" spans="1:94" s="8" customFormat="1">
      <c r="A16" s="4">
        <v>15</v>
      </c>
      <c r="B16" s="135">
        <v>45381</v>
      </c>
      <c r="C16" s="151" t="s">
        <v>50</v>
      </c>
      <c r="D16" s="136" t="s">
        <v>49</v>
      </c>
      <c r="E16" s="136" t="s">
        <v>151</v>
      </c>
      <c r="F16" s="136" t="s">
        <v>24</v>
      </c>
      <c r="G16" s="136" t="s">
        <v>8</v>
      </c>
      <c r="H16" s="136">
        <v>250</v>
      </c>
      <c r="I16" s="136" t="s">
        <v>9</v>
      </c>
      <c r="K16" s="21">
        <v>25200</v>
      </c>
      <c r="L16" s="21">
        <v>2520</v>
      </c>
      <c r="M16" s="21">
        <v>2000</v>
      </c>
      <c r="N16" s="21">
        <v>7500</v>
      </c>
      <c r="O16" s="21">
        <v>0</v>
      </c>
      <c r="P16" s="21">
        <v>0</v>
      </c>
      <c r="Q16" s="21">
        <v>0</v>
      </c>
      <c r="R16" s="21">
        <v>0</v>
      </c>
      <c r="S16" s="21"/>
      <c r="T16" s="21">
        <v>0</v>
      </c>
      <c r="U16" s="21">
        <v>0</v>
      </c>
      <c r="V16" s="21">
        <v>0</v>
      </c>
      <c r="W16" s="21"/>
      <c r="X16" s="21">
        <v>0</v>
      </c>
      <c r="Y16" s="21">
        <v>250</v>
      </c>
      <c r="Z16" s="21">
        <v>0</v>
      </c>
      <c r="AA16" s="4">
        <v>2500</v>
      </c>
      <c r="AB16" s="43">
        <f t="shared" si="19"/>
        <v>37220</v>
      </c>
      <c r="AC16" s="43">
        <f t="shared" si="1"/>
        <v>39970</v>
      </c>
      <c r="AD16" s="21">
        <v>50</v>
      </c>
      <c r="AE16" s="21">
        <v>0</v>
      </c>
      <c r="AF16" s="21">
        <v>25714</v>
      </c>
      <c r="AG16" s="21">
        <v>500</v>
      </c>
      <c r="AH16" s="21"/>
      <c r="AI16" s="21"/>
      <c r="AJ16" s="21">
        <f t="shared" si="2"/>
        <v>50</v>
      </c>
      <c r="AK16" s="22">
        <f t="shared" si="3"/>
        <v>43000</v>
      </c>
      <c r="AL16" s="45">
        <f t="shared" si="4"/>
        <v>69214</v>
      </c>
      <c r="AM16" s="45">
        <f t="shared" si="5"/>
        <v>109184</v>
      </c>
      <c r="AN16" s="32">
        <v>860</v>
      </c>
      <c r="AO16" s="21">
        <v>95</v>
      </c>
      <c r="AP16" s="21">
        <v>0</v>
      </c>
      <c r="AQ16" s="21"/>
      <c r="AR16" s="21">
        <v>0</v>
      </c>
      <c r="AS16" s="21">
        <v>0</v>
      </c>
      <c r="AT16" s="21">
        <v>500</v>
      </c>
      <c r="AU16" s="21"/>
      <c r="AV16" s="4">
        <v>62</v>
      </c>
      <c r="AW16" s="21">
        <v>108.74</v>
      </c>
      <c r="AX16" s="21">
        <f t="shared" si="20"/>
        <v>6741.88</v>
      </c>
      <c r="AY16" s="21">
        <v>1197.1199999999999</v>
      </c>
      <c r="AZ16" s="21">
        <v>1149.2</v>
      </c>
      <c r="BA16" s="21"/>
      <c r="BB16" s="21">
        <f t="shared" si="21"/>
        <v>95</v>
      </c>
      <c r="BC16" s="23">
        <f t="shared" si="7"/>
        <v>124700</v>
      </c>
      <c r="BD16" s="40">
        <f t="shared" si="8"/>
        <v>161920</v>
      </c>
      <c r="BE16" s="40">
        <f t="shared" si="9"/>
        <v>200472.2</v>
      </c>
      <c r="BF16" s="32">
        <f t="shared" si="13"/>
        <v>922</v>
      </c>
      <c r="BG16" s="21">
        <v>0</v>
      </c>
      <c r="BH16" s="21">
        <v>25200</v>
      </c>
      <c r="BI16" s="21">
        <v>0</v>
      </c>
      <c r="BJ16" s="21">
        <v>0</v>
      </c>
      <c r="BK16" s="21">
        <v>0</v>
      </c>
      <c r="BL16" s="21">
        <f t="shared" si="17"/>
        <v>81700</v>
      </c>
      <c r="BM16" s="21"/>
      <c r="BN16" s="21"/>
      <c r="BO16" s="21"/>
      <c r="BP16" s="21">
        <v>5450</v>
      </c>
      <c r="BQ16" s="21">
        <v>0</v>
      </c>
      <c r="BR16" s="21">
        <v>1100</v>
      </c>
      <c r="BS16" s="21"/>
      <c r="BT16" s="21">
        <v>320</v>
      </c>
      <c r="BU16" s="21">
        <v>0</v>
      </c>
      <c r="BV16" s="21"/>
      <c r="BW16" s="21"/>
      <c r="BX16" s="21"/>
      <c r="BY16" s="21"/>
      <c r="BZ16" s="21"/>
      <c r="CA16" s="21"/>
      <c r="CB16" s="21"/>
      <c r="CC16" s="21"/>
      <c r="CD16" s="21">
        <f>7474.65+8920.35</f>
        <v>16395</v>
      </c>
      <c r="CE16" s="21"/>
      <c r="CF16" s="21"/>
      <c r="CG16" s="21">
        <v>600</v>
      </c>
      <c r="CH16" s="21"/>
      <c r="CI16" s="18">
        <f t="shared" si="11"/>
        <v>23865</v>
      </c>
      <c r="CJ16" s="18"/>
      <c r="CK16" s="18"/>
      <c r="CL16" s="21"/>
      <c r="CM16" s="21"/>
      <c r="CN16" s="21"/>
      <c r="CO16" s="21"/>
      <c r="CP16" s="21"/>
    </row>
    <row r="17" spans="1:94" s="8" customFormat="1">
      <c r="A17" s="4">
        <v>16</v>
      </c>
      <c r="B17" s="36">
        <v>45381</v>
      </c>
      <c r="C17" s="35" t="s">
        <v>67</v>
      </c>
      <c r="D17" s="35"/>
      <c r="E17" s="3"/>
      <c r="F17" s="35"/>
      <c r="G17" s="35"/>
      <c r="H17" s="35">
        <v>213</v>
      </c>
      <c r="I17" s="35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4"/>
      <c r="AB17" s="43">
        <f t="shared" si="19"/>
        <v>0</v>
      </c>
      <c r="AC17" s="43">
        <f t="shared" si="1"/>
        <v>0</v>
      </c>
      <c r="AD17" s="21"/>
      <c r="AE17" s="21"/>
      <c r="AF17" s="21"/>
      <c r="AG17" s="21"/>
      <c r="AH17" s="21"/>
      <c r="AI17" s="21"/>
      <c r="AJ17" s="21">
        <f t="shared" si="2"/>
        <v>0</v>
      </c>
      <c r="AK17" s="22">
        <f t="shared" si="3"/>
        <v>0</v>
      </c>
      <c r="AL17" s="45">
        <f t="shared" si="4"/>
        <v>0</v>
      </c>
      <c r="AM17" s="45">
        <f t="shared" si="5"/>
        <v>0</v>
      </c>
      <c r="AN17" s="32"/>
      <c r="AO17" s="21"/>
      <c r="AP17" s="21"/>
      <c r="AQ17" s="21"/>
      <c r="AR17" s="21"/>
      <c r="AS17" s="21"/>
      <c r="AT17" s="21"/>
      <c r="AU17" s="21"/>
      <c r="AV17" s="4"/>
      <c r="AW17" s="21"/>
      <c r="AX17" s="21">
        <f t="shared" si="20"/>
        <v>0</v>
      </c>
      <c r="AY17" s="21"/>
      <c r="AZ17" s="21"/>
      <c r="BA17" s="21"/>
      <c r="BB17" s="21">
        <f>AO17+AP17</f>
        <v>0</v>
      </c>
      <c r="BC17" s="23">
        <f t="shared" si="7"/>
        <v>0</v>
      </c>
      <c r="BD17" s="40">
        <f t="shared" si="8"/>
        <v>0</v>
      </c>
      <c r="BE17" s="40">
        <f t="shared" si="9"/>
        <v>0</v>
      </c>
      <c r="BF17" s="32">
        <f t="shared" si="13"/>
        <v>0</v>
      </c>
      <c r="BG17" s="21">
        <f t="shared" si="14"/>
        <v>0</v>
      </c>
      <c r="BH17" s="21">
        <v>0</v>
      </c>
      <c r="BI17" s="21">
        <v>0</v>
      </c>
      <c r="BJ17" s="21">
        <v>0</v>
      </c>
      <c r="BK17" s="21"/>
      <c r="BL17" s="21">
        <f t="shared" si="17"/>
        <v>0</v>
      </c>
      <c r="BM17" s="21"/>
      <c r="BN17" s="21"/>
      <c r="BO17" s="21"/>
      <c r="BP17" s="21"/>
      <c r="BQ17" s="21">
        <v>0</v>
      </c>
      <c r="BR17" s="21"/>
      <c r="BS17" s="21"/>
      <c r="BT17" s="21">
        <v>0</v>
      </c>
      <c r="BU17" s="21">
        <v>0</v>
      </c>
      <c r="BV17" s="21"/>
      <c r="BW17" s="21"/>
      <c r="BX17" s="21"/>
      <c r="BY17" s="21"/>
      <c r="BZ17" s="21"/>
      <c r="CA17" s="21"/>
      <c r="CB17" s="21"/>
      <c r="CC17" s="21"/>
      <c r="CD17" s="21">
        <f>9278.33+7616.67</f>
        <v>16895</v>
      </c>
      <c r="CE17" s="21"/>
      <c r="CF17" s="21"/>
      <c r="CG17" s="21"/>
      <c r="CH17" s="21"/>
      <c r="CI17" s="18">
        <f t="shared" si="11"/>
        <v>16895</v>
      </c>
      <c r="CJ17" s="18"/>
      <c r="CK17" s="18"/>
      <c r="CL17" s="21"/>
      <c r="CM17" s="21"/>
      <c r="CN17" s="21"/>
      <c r="CO17" s="21"/>
      <c r="CP17" s="21"/>
    </row>
    <row r="18" spans="1:94" s="8" customFormat="1">
      <c r="A18" s="4">
        <v>17</v>
      </c>
      <c r="B18" s="135">
        <v>45388</v>
      </c>
      <c r="C18" s="136" t="s">
        <v>48</v>
      </c>
      <c r="D18" s="136" t="s">
        <v>20</v>
      </c>
      <c r="E18" s="136" t="s">
        <v>151</v>
      </c>
      <c r="F18" s="136" t="s">
        <v>24</v>
      </c>
      <c r="G18" s="136" t="s">
        <v>8</v>
      </c>
      <c r="H18" s="136">
        <v>193</v>
      </c>
      <c r="I18" s="136" t="s">
        <v>9</v>
      </c>
      <c r="K18" s="21">
        <v>27442.799999999999</v>
      </c>
      <c r="L18" s="21">
        <v>2744.28</v>
      </c>
      <c r="M18" s="21">
        <v>3000</v>
      </c>
      <c r="N18" s="21">
        <v>6752</v>
      </c>
      <c r="O18" s="21">
        <v>0</v>
      </c>
      <c r="P18" s="21">
        <v>0</v>
      </c>
      <c r="Q18" s="21">
        <v>0</v>
      </c>
      <c r="R18" s="21">
        <v>0</v>
      </c>
      <c r="S18" s="21"/>
      <c r="T18" s="21">
        <v>0</v>
      </c>
      <c r="U18" s="21">
        <v>0</v>
      </c>
      <c r="V18" s="21">
        <v>0</v>
      </c>
      <c r="W18" s="21"/>
      <c r="X18" s="21">
        <v>0</v>
      </c>
      <c r="Y18" s="21">
        <v>0</v>
      </c>
      <c r="Z18" s="21">
        <v>0</v>
      </c>
      <c r="AA18" s="4">
        <v>0</v>
      </c>
      <c r="AB18" s="43">
        <f t="shared" si="19"/>
        <v>39939.08</v>
      </c>
      <c r="AC18" s="43">
        <f t="shared" si="1"/>
        <v>39939.08</v>
      </c>
      <c r="AD18" s="21">
        <v>47</v>
      </c>
      <c r="AE18" s="21">
        <v>0</v>
      </c>
      <c r="AF18" s="21">
        <v>0</v>
      </c>
      <c r="AG18" s="21">
        <v>1500</v>
      </c>
      <c r="AH18" s="21">
        <v>0</v>
      </c>
      <c r="AI18" s="21">
        <v>0</v>
      </c>
      <c r="AJ18" s="21">
        <f t="shared" si="2"/>
        <v>47</v>
      </c>
      <c r="AK18" s="22">
        <f t="shared" ref="AK18:AK38" si="22">AJ18*AN18</f>
        <v>32900</v>
      </c>
      <c r="AL18" s="45">
        <f t="shared" si="4"/>
        <v>34400</v>
      </c>
      <c r="AM18" s="45">
        <f t="shared" si="5"/>
        <v>74339.08</v>
      </c>
      <c r="AN18" s="32">
        <v>700</v>
      </c>
      <c r="AO18" s="21">
        <v>70</v>
      </c>
      <c r="AP18" s="21">
        <v>0</v>
      </c>
      <c r="AQ18" s="21"/>
      <c r="AR18" s="21">
        <v>8631</v>
      </c>
      <c r="AS18" s="21">
        <v>0</v>
      </c>
      <c r="AT18" s="21">
        <v>750</v>
      </c>
      <c r="AU18" s="21"/>
      <c r="AV18" s="4">
        <v>259</v>
      </c>
      <c r="AW18" s="21">
        <v>130</v>
      </c>
      <c r="AX18" s="21">
        <f t="shared" si="20"/>
        <v>33670</v>
      </c>
      <c r="AY18" s="21">
        <v>21695.31</v>
      </c>
      <c r="AZ18" s="21">
        <v>4660.26</v>
      </c>
      <c r="BA18" s="21"/>
      <c r="BB18" s="21">
        <f t="shared" ref="BB18:BB78" si="23">AO18+AP18</f>
        <v>70</v>
      </c>
      <c r="BC18" s="23">
        <f t="shared" si="7"/>
        <v>81900</v>
      </c>
      <c r="BD18" s="40">
        <f t="shared" si="8"/>
        <v>121839.08</v>
      </c>
      <c r="BE18" s="40">
        <f t="shared" si="9"/>
        <v>192745.65000000002</v>
      </c>
      <c r="BF18" s="32">
        <f t="shared" si="13"/>
        <v>959</v>
      </c>
      <c r="BG18" s="21">
        <f>BE18*10%</f>
        <v>19274.565000000002</v>
      </c>
      <c r="BH18" s="21">
        <v>0</v>
      </c>
      <c r="BI18" s="21">
        <v>0</v>
      </c>
      <c r="BJ18" s="21">
        <v>0</v>
      </c>
      <c r="BK18" s="21">
        <v>0</v>
      </c>
      <c r="BL18" s="21">
        <f t="shared" si="17"/>
        <v>49000</v>
      </c>
      <c r="BM18" s="21"/>
      <c r="BN18" s="21"/>
      <c r="BO18" s="21"/>
      <c r="BP18" s="21">
        <v>5450</v>
      </c>
      <c r="BQ18" s="21">
        <v>1000</v>
      </c>
      <c r="BR18" s="21">
        <v>1300</v>
      </c>
      <c r="BS18" s="21">
        <v>190</v>
      </c>
      <c r="BT18" s="21">
        <v>320</v>
      </c>
      <c r="BU18" s="21">
        <v>0</v>
      </c>
      <c r="BV18" s="21">
        <v>400</v>
      </c>
      <c r="BW18" s="21"/>
      <c r="BX18" s="21"/>
      <c r="BY18" s="21"/>
      <c r="BZ18" s="21">
        <v>1150</v>
      </c>
      <c r="CA18" s="21"/>
      <c r="CB18" s="21">
        <f>3*3690.1+478.36</f>
        <v>11548.66</v>
      </c>
      <c r="CC18" s="21"/>
      <c r="CD18" s="21"/>
      <c r="CE18" s="21"/>
      <c r="CF18" s="21"/>
      <c r="CG18" s="21">
        <v>360</v>
      </c>
      <c r="CH18" s="21"/>
      <c r="CI18" s="18">
        <f t="shared" si="11"/>
        <v>21718.66</v>
      </c>
      <c r="CJ18" s="18"/>
      <c r="CK18" s="18"/>
      <c r="CL18" s="21"/>
      <c r="CM18" s="21">
        <v>300</v>
      </c>
      <c r="CN18" s="21"/>
      <c r="CO18" s="21"/>
      <c r="CP18" s="21"/>
    </row>
    <row r="19" spans="1:94" s="8" customFormat="1">
      <c r="A19" s="4">
        <v>18</v>
      </c>
      <c r="B19" s="135">
        <v>45395</v>
      </c>
      <c r="C19" s="136" t="s">
        <v>29</v>
      </c>
      <c r="D19" s="136" t="s">
        <v>31</v>
      </c>
      <c r="E19" s="136" t="s">
        <v>151</v>
      </c>
      <c r="F19" s="136" t="s">
        <v>30</v>
      </c>
      <c r="G19" s="136" t="s">
        <v>32</v>
      </c>
      <c r="H19" s="136">
        <v>370</v>
      </c>
      <c r="I19" s="136" t="s">
        <v>9</v>
      </c>
      <c r="K19" s="21">
        <v>43500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/>
      <c r="T19" s="21">
        <v>0</v>
      </c>
      <c r="U19" s="21">
        <v>0</v>
      </c>
      <c r="V19" s="21">
        <v>0</v>
      </c>
      <c r="W19" s="21"/>
      <c r="X19" s="21">
        <v>0</v>
      </c>
      <c r="Y19" s="21">
        <v>0</v>
      </c>
      <c r="Z19" s="21">
        <v>0</v>
      </c>
      <c r="AA19" s="21">
        <v>0</v>
      </c>
      <c r="AB19" s="43">
        <f t="shared" si="19"/>
        <v>43500</v>
      </c>
      <c r="AC19" s="43">
        <f t="shared" si="1"/>
        <v>43500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f t="shared" si="2"/>
        <v>0</v>
      </c>
      <c r="AK19" s="22">
        <f t="shared" si="22"/>
        <v>0</v>
      </c>
      <c r="AL19" s="45">
        <f t="shared" si="4"/>
        <v>0</v>
      </c>
      <c r="AM19" s="45">
        <f t="shared" si="5"/>
        <v>43500</v>
      </c>
      <c r="AN19" s="32">
        <v>2000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/>
      <c r="AV19" s="25">
        <v>0</v>
      </c>
      <c r="AW19" s="21">
        <v>0</v>
      </c>
      <c r="AX19" s="21">
        <f t="shared" si="20"/>
        <v>0</v>
      </c>
      <c r="AY19" s="21">
        <v>0</v>
      </c>
      <c r="AZ19" s="21">
        <v>0</v>
      </c>
      <c r="BA19" s="21">
        <v>0</v>
      </c>
      <c r="BB19" s="21">
        <f t="shared" si="23"/>
        <v>0</v>
      </c>
      <c r="BC19" s="23">
        <f t="shared" si="7"/>
        <v>0</v>
      </c>
      <c r="BD19" s="40">
        <f t="shared" si="8"/>
        <v>43500</v>
      </c>
      <c r="BE19" s="40">
        <f t="shared" si="9"/>
        <v>43500</v>
      </c>
      <c r="BF19" s="32">
        <f t="shared" si="13"/>
        <v>2000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f t="shared" si="17"/>
        <v>0</v>
      </c>
      <c r="BM19" s="21"/>
      <c r="BN19" s="21"/>
      <c r="BO19" s="21"/>
      <c r="BP19" s="21">
        <v>0</v>
      </c>
      <c r="BQ19" s="21">
        <v>0</v>
      </c>
      <c r="BR19" s="21"/>
      <c r="BS19" s="21"/>
      <c r="BT19" s="21">
        <v>480</v>
      </c>
      <c r="BU19" s="21">
        <v>0</v>
      </c>
      <c r="BV19" s="21">
        <v>500</v>
      </c>
      <c r="BW19" s="21"/>
      <c r="BX19" s="21"/>
      <c r="BY19" s="21"/>
      <c r="BZ19" s="21"/>
      <c r="CA19" s="21"/>
      <c r="CB19" s="21"/>
      <c r="CC19" s="21"/>
      <c r="CD19" s="21">
        <f>775.68+9442.8</f>
        <v>10218.48</v>
      </c>
      <c r="CE19" s="21"/>
      <c r="CF19" s="21"/>
      <c r="CG19" s="21"/>
      <c r="CH19" s="21"/>
      <c r="CI19" s="18">
        <f t="shared" si="11"/>
        <v>11198.48</v>
      </c>
      <c r="CJ19" s="18"/>
      <c r="CK19" s="18"/>
      <c r="CL19" s="21"/>
      <c r="CM19" s="21"/>
      <c r="CN19" s="21"/>
      <c r="CO19" s="21"/>
      <c r="CP19" s="21"/>
    </row>
    <row r="20" spans="1:94" s="8" customFormat="1">
      <c r="A20" s="4">
        <v>19</v>
      </c>
      <c r="B20" s="135">
        <v>45400</v>
      </c>
      <c r="C20" s="136" t="s">
        <v>38</v>
      </c>
      <c r="D20" s="136" t="s">
        <v>38</v>
      </c>
      <c r="E20" s="136"/>
      <c r="F20" s="136" t="s">
        <v>13</v>
      </c>
      <c r="G20" s="136" t="s">
        <v>8</v>
      </c>
      <c r="H20" s="136">
        <v>405</v>
      </c>
      <c r="I20" s="136" t="s">
        <v>9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/>
      <c r="T20" s="21">
        <v>0</v>
      </c>
      <c r="U20" s="21">
        <v>0</v>
      </c>
      <c r="V20" s="21">
        <v>0</v>
      </c>
      <c r="W20" s="21"/>
      <c r="X20" s="21">
        <v>0</v>
      </c>
      <c r="Y20" s="21">
        <v>0</v>
      </c>
      <c r="Z20" s="21">
        <v>0</v>
      </c>
      <c r="AA20" s="21">
        <v>0</v>
      </c>
      <c r="AB20" s="43">
        <f t="shared" si="19"/>
        <v>0</v>
      </c>
      <c r="AC20" s="43">
        <f t="shared" si="1"/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f>AD20+AE20</f>
        <v>0</v>
      </c>
      <c r="AK20" s="22">
        <f t="shared" si="22"/>
        <v>0</v>
      </c>
      <c r="AL20" s="45">
        <f t="shared" si="4"/>
        <v>0</v>
      </c>
      <c r="AM20" s="45">
        <f t="shared" si="5"/>
        <v>0</v>
      </c>
      <c r="AN20" s="32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/>
      <c r="AV20" s="4">
        <v>0</v>
      </c>
      <c r="AW20" s="4">
        <v>0</v>
      </c>
      <c r="AX20" s="21">
        <f t="shared" si="20"/>
        <v>0</v>
      </c>
      <c r="AY20" s="21">
        <v>0</v>
      </c>
      <c r="AZ20" s="21">
        <v>0</v>
      </c>
      <c r="BA20" s="21">
        <v>0</v>
      </c>
      <c r="BB20" s="21">
        <f t="shared" si="23"/>
        <v>0</v>
      </c>
      <c r="BC20" s="23">
        <f t="shared" si="7"/>
        <v>0</v>
      </c>
      <c r="BD20" s="40">
        <f t="shared" si="8"/>
        <v>0</v>
      </c>
      <c r="BE20" s="40">
        <f t="shared" si="9"/>
        <v>0</v>
      </c>
      <c r="BF20" s="32">
        <f t="shared" si="13"/>
        <v>0</v>
      </c>
      <c r="BG20" s="21">
        <f t="shared" si="14"/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f t="shared" si="17"/>
        <v>0</v>
      </c>
      <c r="BM20" s="21"/>
      <c r="BN20" s="21"/>
      <c r="BO20" s="21"/>
      <c r="BP20" s="21">
        <v>3950</v>
      </c>
      <c r="BQ20" s="21">
        <v>0</v>
      </c>
      <c r="BR20" s="21">
        <v>690</v>
      </c>
      <c r="BS20" s="21"/>
      <c r="BT20" s="21">
        <v>160</v>
      </c>
      <c r="BU20" s="21">
        <v>0</v>
      </c>
      <c r="BV20" s="21">
        <v>250</v>
      </c>
      <c r="BW20" s="21"/>
      <c r="BX20" s="21"/>
      <c r="BY20" s="21"/>
      <c r="BZ20" s="21"/>
      <c r="CA20" s="21"/>
      <c r="CB20" s="21"/>
      <c r="CC20" s="21"/>
      <c r="CD20" s="21">
        <f>6353.84+7740</f>
        <v>14093.84</v>
      </c>
      <c r="CE20" s="21"/>
      <c r="CF20" s="21"/>
      <c r="CG20" s="21"/>
      <c r="CH20" s="21">
        <v>500</v>
      </c>
      <c r="CI20" s="18">
        <f t="shared" si="11"/>
        <v>19643.84</v>
      </c>
      <c r="CJ20" s="18"/>
      <c r="CK20" s="18"/>
      <c r="CL20" s="21"/>
      <c r="CM20" s="21"/>
      <c r="CN20" s="21"/>
      <c r="CO20" s="21"/>
      <c r="CP20" s="21"/>
    </row>
    <row r="21" spans="1:94" s="8" customFormat="1">
      <c r="A21" s="4">
        <v>20</v>
      </c>
      <c r="B21" s="135">
        <v>45402</v>
      </c>
      <c r="C21" s="136" t="s">
        <v>52</v>
      </c>
      <c r="D21" s="136" t="s">
        <v>53</v>
      </c>
      <c r="E21" s="136" t="s">
        <v>151</v>
      </c>
      <c r="F21" s="136" t="s">
        <v>24</v>
      </c>
      <c r="G21" s="136" t="s">
        <v>8</v>
      </c>
      <c r="H21" s="136">
        <v>266</v>
      </c>
      <c r="I21" s="136" t="s">
        <v>9</v>
      </c>
      <c r="K21" s="21">
        <v>32000</v>
      </c>
      <c r="L21" s="21">
        <v>3200</v>
      </c>
      <c r="M21" s="21">
        <v>2400</v>
      </c>
      <c r="N21" s="21">
        <v>7400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>
        <v>250</v>
      </c>
      <c r="Z21" s="21"/>
      <c r="AA21" s="21">
        <v>2500</v>
      </c>
      <c r="AB21" s="43">
        <f t="shared" si="19"/>
        <v>45000</v>
      </c>
      <c r="AC21" s="43">
        <f t="shared" si="1"/>
        <v>47750</v>
      </c>
      <c r="AD21" s="21">
        <v>44</v>
      </c>
      <c r="AE21" s="21">
        <v>33</v>
      </c>
      <c r="AF21" s="21"/>
      <c r="AG21" s="21">
        <v>500</v>
      </c>
      <c r="AH21" s="21">
        <v>2386</v>
      </c>
      <c r="AI21" s="21"/>
      <c r="AJ21" s="21">
        <f t="shared" si="2"/>
        <v>77</v>
      </c>
      <c r="AK21" s="22">
        <f t="shared" si="22"/>
        <v>64141</v>
      </c>
      <c r="AL21" s="45">
        <f t="shared" si="4"/>
        <v>67027</v>
      </c>
      <c r="AM21" s="45">
        <f t="shared" si="5"/>
        <v>114777</v>
      </c>
      <c r="AN21" s="32">
        <v>833</v>
      </c>
      <c r="AO21" s="21">
        <v>88</v>
      </c>
      <c r="AP21" s="21"/>
      <c r="AQ21" s="21"/>
      <c r="AR21" s="21"/>
      <c r="AS21" s="21">
        <v>2052</v>
      </c>
      <c r="AT21" s="21">
        <v>250</v>
      </c>
      <c r="AU21" s="21"/>
      <c r="AV21" s="4">
        <v>143</v>
      </c>
      <c r="AW21" s="21">
        <v>165</v>
      </c>
      <c r="AX21" s="21">
        <f t="shared" si="20"/>
        <v>23595</v>
      </c>
      <c r="AY21" s="21">
        <v>7839.84</v>
      </c>
      <c r="AZ21" s="21">
        <v>1354.35</v>
      </c>
      <c r="BA21" s="21">
        <v>0</v>
      </c>
      <c r="BB21" s="21">
        <f t="shared" si="23"/>
        <v>88</v>
      </c>
      <c r="BC21" s="23">
        <f t="shared" si="7"/>
        <v>137445</v>
      </c>
      <c r="BD21" s="40">
        <f t="shared" si="8"/>
        <v>182445</v>
      </c>
      <c r="BE21" s="40">
        <f t="shared" si="9"/>
        <v>223172.19</v>
      </c>
      <c r="BF21" s="32">
        <f t="shared" si="13"/>
        <v>976</v>
      </c>
      <c r="BG21" s="21">
        <v>0</v>
      </c>
      <c r="BH21" s="21">
        <v>30808</v>
      </c>
      <c r="BI21" s="21">
        <v>0</v>
      </c>
      <c r="BJ21" s="21">
        <v>0</v>
      </c>
      <c r="BK21" s="21">
        <v>0</v>
      </c>
      <c r="BL21" s="21">
        <f t="shared" si="17"/>
        <v>73304</v>
      </c>
      <c r="BM21" s="21"/>
      <c r="BN21" s="21"/>
      <c r="BO21" s="21"/>
      <c r="BP21" s="21">
        <v>5450</v>
      </c>
      <c r="BQ21" s="21">
        <v>0</v>
      </c>
      <c r="BR21" s="21">
        <v>1200</v>
      </c>
      <c r="BS21" s="21">
        <v>190</v>
      </c>
      <c r="BT21" s="21">
        <v>0</v>
      </c>
      <c r="BU21" s="21">
        <v>0</v>
      </c>
      <c r="BV21" s="21">
        <v>400</v>
      </c>
      <c r="BW21" s="21"/>
      <c r="BX21" s="21"/>
      <c r="BY21" s="21"/>
      <c r="BZ21" s="21">
        <v>1450</v>
      </c>
      <c r="CA21" s="21">
        <v>590</v>
      </c>
      <c r="CB21" s="21"/>
      <c r="CC21" s="21"/>
      <c r="CD21" s="21">
        <f>9442.8+7751.68</f>
        <v>17194.48</v>
      </c>
      <c r="CE21" s="21"/>
      <c r="CF21" s="21"/>
      <c r="CG21" s="21"/>
      <c r="CH21" s="21"/>
      <c r="CI21" s="18">
        <f t="shared" si="11"/>
        <v>26474.48</v>
      </c>
      <c r="CJ21" s="18"/>
      <c r="CK21" s="18"/>
      <c r="CL21" s="21"/>
      <c r="CM21" s="21">
        <v>60</v>
      </c>
      <c r="CN21" s="21"/>
      <c r="CO21" s="21"/>
      <c r="CP21" s="21"/>
    </row>
    <row r="22" spans="1:94" s="8" customFormat="1" ht="13.5" customHeight="1">
      <c r="A22" s="4">
        <v>21</v>
      </c>
      <c r="B22" s="135">
        <v>45409</v>
      </c>
      <c r="C22" s="136" t="s">
        <v>60</v>
      </c>
      <c r="D22" s="136" t="s">
        <v>53</v>
      </c>
      <c r="E22" s="136" t="s">
        <v>151</v>
      </c>
      <c r="F22" s="136" t="s">
        <v>24</v>
      </c>
      <c r="G22" s="136" t="s">
        <v>8</v>
      </c>
      <c r="H22" s="136">
        <v>265</v>
      </c>
      <c r="I22" s="136" t="s">
        <v>9</v>
      </c>
      <c r="K22" s="21">
        <v>27500</v>
      </c>
      <c r="L22" s="21">
        <v>2750</v>
      </c>
      <c r="M22" s="21">
        <v>2000</v>
      </c>
      <c r="N22" s="21">
        <v>7300</v>
      </c>
      <c r="O22" s="21">
        <v>0</v>
      </c>
      <c r="P22" s="21">
        <v>0</v>
      </c>
      <c r="Q22" s="21">
        <v>0</v>
      </c>
      <c r="R22" s="21">
        <v>0</v>
      </c>
      <c r="S22" s="21"/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43">
        <f t="shared" si="19"/>
        <v>39550</v>
      </c>
      <c r="AC22" s="43">
        <f t="shared" si="1"/>
        <v>39550</v>
      </c>
      <c r="AD22" s="21">
        <v>50</v>
      </c>
      <c r="AE22" s="21">
        <v>25</v>
      </c>
      <c r="AF22" s="21">
        <v>0</v>
      </c>
      <c r="AG22" s="21">
        <v>0</v>
      </c>
      <c r="AH22" s="21">
        <v>0</v>
      </c>
      <c r="AI22" s="21">
        <v>0</v>
      </c>
      <c r="AJ22" s="21">
        <f t="shared" si="2"/>
        <v>75</v>
      </c>
      <c r="AK22" s="22">
        <f t="shared" si="22"/>
        <v>60000</v>
      </c>
      <c r="AL22" s="45">
        <f t="shared" si="4"/>
        <v>60000</v>
      </c>
      <c r="AM22" s="45">
        <f t="shared" si="5"/>
        <v>99550</v>
      </c>
      <c r="AN22" s="32">
        <v>800</v>
      </c>
      <c r="AO22" s="21">
        <v>95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4">
        <v>0</v>
      </c>
      <c r="AW22" s="21">
        <v>0</v>
      </c>
      <c r="AX22" s="21">
        <f t="shared" si="20"/>
        <v>0</v>
      </c>
      <c r="AY22" s="21">
        <v>0</v>
      </c>
      <c r="AZ22" s="21">
        <v>0</v>
      </c>
      <c r="BA22" s="21">
        <v>0</v>
      </c>
      <c r="BB22" s="21">
        <f t="shared" si="23"/>
        <v>95</v>
      </c>
      <c r="BC22" s="23">
        <f t="shared" si="7"/>
        <v>136000</v>
      </c>
      <c r="BD22" s="40">
        <f t="shared" si="8"/>
        <v>175550</v>
      </c>
      <c r="BE22" s="40">
        <f t="shared" si="9"/>
        <v>175550</v>
      </c>
      <c r="BF22" s="32">
        <f t="shared" si="13"/>
        <v>800</v>
      </c>
      <c r="BG22" s="21">
        <v>0</v>
      </c>
      <c r="BH22" s="21">
        <v>32700</v>
      </c>
      <c r="BI22" s="21">
        <v>0</v>
      </c>
      <c r="BJ22" s="21">
        <v>0</v>
      </c>
      <c r="BK22" s="21">
        <v>0</v>
      </c>
      <c r="BL22" s="21">
        <f t="shared" si="17"/>
        <v>76000</v>
      </c>
      <c r="BM22" s="21"/>
      <c r="BN22" s="21"/>
      <c r="BO22" s="21"/>
      <c r="BP22" s="21">
        <v>5450</v>
      </c>
      <c r="BQ22" s="21">
        <v>1000</v>
      </c>
      <c r="BR22" s="21">
        <f>6*160+180</f>
        <v>1140</v>
      </c>
      <c r="BS22" s="21">
        <v>190</v>
      </c>
      <c r="BT22" s="21">
        <v>160</v>
      </c>
      <c r="BU22" s="21">
        <v>0</v>
      </c>
      <c r="BV22" s="21">
        <v>400</v>
      </c>
      <c r="BW22" s="21"/>
      <c r="BX22" s="21"/>
      <c r="BY22" s="21"/>
      <c r="BZ22" s="21">
        <v>1110</v>
      </c>
      <c r="CA22" s="21"/>
      <c r="CB22" s="21">
        <f>350+9080</f>
        <v>9430</v>
      </c>
      <c r="CC22" s="21"/>
      <c r="CD22" s="21">
        <f>7740+6353.84</f>
        <v>14093.84</v>
      </c>
      <c r="CE22" s="21"/>
      <c r="CF22" s="21"/>
      <c r="CG22" s="21"/>
      <c r="CH22" s="21"/>
      <c r="CI22" s="18">
        <f t="shared" si="11"/>
        <v>32973.839999999997</v>
      </c>
      <c r="CJ22" s="18"/>
      <c r="CK22" s="18"/>
      <c r="CL22" s="21"/>
      <c r="CM22" s="21"/>
      <c r="CN22" s="21"/>
      <c r="CO22" s="21"/>
      <c r="CP22" s="21"/>
    </row>
    <row r="23" spans="1:94" s="8" customFormat="1">
      <c r="A23" s="4">
        <v>22</v>
      </c>
      <c r="B23" s="135">
        <v>45416</v>
      </c>
      <c r="C23" s="136" t="s">
        <v>22</v>
      </c>
      <c r="D23" s="136" t="s">
        <v>119</v>
      </c>
      <c r="E23" s="136" t="s">
        <v>151</v>
      </c>
      <c r="F23" s="136" t="s">
        <v>23</v>
      </c>
      <c r="G23" s="136" t="s">
        <v>8</v>
      </c>
      <c r="H23" s="136">
        <v>329</v>
      </c>
      <c r="I23" s="136" t="s">
        <v>9</v>
      </c>
      <c r="K23" s="21">
        <v>7000</v>
      </c>
      <c r="L23" s="21">
        <v>0</v>
      </c>
      <c r="M23" s="21">
        <v>0</v>
      </c>
      <c r="N23" s="21">
        <v>6200</v>
      </c>
      <c r="O23" s="21">
        <v>2090</v>
      </c>
      <c r="P23" s="21">
        <v>0</v>
      </c>
      <c r="Q23" s="21">
        <v>0</v>
      </c>
      <c r="R23" s="21">
        <v>15000</v>
      </c>
      <c r="S23" s="21"/>
      <c r="T23" s="21">
        <v>0</v>
      </c>
      <c r="U23" s="21">
        <v>0</v>
      </c>
      <c r="V23" s="21">
        <v>0</v>
      </c>
      <c r="W23" s="21"/>
      <c r="X23" s="21">
        <v>0</v>
      </c>
      <c r="Y23" s="21">
        <v>0</v>
      </c>
      <c r="Z23" s="21">
        <v>0</v>
      </c>
      <c r="AA23" s="21">
        <v>0</v>
      </c>
      <c r="AB23" s="43">
        <f t="shared" si="19"/>
        <v>30290</v>
      </c>
      <c r="AC23" s="43">
        <f t="shared" si="1"/>
        <v>30290</v>
      </c>
      <c r="AD23" s="21">
        <v>25.19</v>
      </c>
      <c r="AE23" s="21">
        <v>39</v>
      </c>
      <c r="AF23" s="21"/>
      <c r="AG23" s="21"/>
      <c r="AH23" s="21"/>
      <c r="AI23" s="21"/>
      <c r="AJ23" s="21">
        <f t="shared" si="2"/>
        <v>64.19</v>
      </c>
      <c r="AK23" s="22">
        <f t="shared" si="22"/>
        <v>8280.51</v>
      </c>
      <c r="AL23" s="45">
        <f t="shared" si="4"/>
        <v>8280.51</v>
      </c>
      <c r="AM23" s="45">
        <f t="shared" si="5"/>
        <v>38570.51</v>
      </c>
      <c r="AN23" s="32">
        <v>129</v>
      </c>
      <c r="AO23" s="21">
        <v>125</v>
      </c>
      <c r="AP23" s="21">
        <v>22.33</v>
      </c>
      <c r="AQ23" s="21">
        <v>2750</v>
      </c>
      <c r="AR23" s="21">
        <v>0</v>
      </c>
      <c r="AS23" s="21">
        <v>0</v>
      </c>
      <c r="AT23" s="21">
        <v>0</v>
      </c>
      <c r="AU23" s="21"/>
      <c r="AV23" s="4"/>
      <c r="AW23" s="21"/>
      <c r="AX23" s="21">
        <f t="shared" si="20"/>
        <v>0</v>
      </c>
      <c r="AY23" s="21"/>
      <c r="AZ23" s="21"/>
      <c r="BA23" s="21"/>
      <c r="BB23" s="21">
        <f t="shared" si="23"/>
        <v>147.32999999999998</v>
      </c>
      <c r="BC23" s="23">
        <f t="shared" si="7"/>
        <v>30036.079999999998</v>
      </c>
      <c r="BD23" s="40">
        <f t="shared" si="8"/>
        <v>60326.080000000002</v>
      </c>
      <c r="BE23" s="40">
        <f t="shared" si="9"/>
        <v>60326.080000000002</v>
      </c>
      <c r="BF23" s="32">
        <f t="shared" si="13"/>
        <v>129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f t="shared" si="17"/>
        <v>16125</v>
      </c>
      <c r="BM23" s="21"/>
      <c r="BN23" s="21"/>
      <c r="BO23" s="21"/>
      <c r="BP23" s="21">
        <v>5450</v>
      </c>
      <c r="BQ23" s="21">
        <v>0</v>
      </c>
      <c r="BR23" s="21">
        <f>4*160+180</f>
        <v>820</v>
      </c>
      <c r="BS23" s="21"/>
      <c r="BT23" s="21">
        <v>320</v>
      </c>
      <c r="BU23" s="21">
        <v>0</v>
      </c>
      <c r="BV23" s="21">
        <v>400</v>
      </c>
      <c r="BW23" s="21"/>
      <c r="BX23" s="21"/>
      <c r="BY23" s="21"/>
      <c r="BZ23" s="21">
        <v>600</v>
      </c>
      <c r="CA23" s="21"/>
      <c r="CB23" s="21"/>
      <c r="CC23" s="21"/>
      <c r="CD23" s="21">
        <f>974.25+1143.04</f>
        <v>2117.29</v>
      </c>
      <c r="CE23" s="21"/>
      <c r="CF23" s="21"/>
      <c r="CG23" s="21"/>
      <c r="CH23" s="21">
        <v>750</v>
      </c>
      <c r="CI23" s="18">
        <f t="shared" si="11"/>
        <v>10457.290000000001</v>
      </c>
      <c r="CJ23" s="18"/>
      <c r="CK23" s="18"/>
      <c r="CL23" s="21"/>
      <c r="CM23" s="21">
        <v>108</v>
      </c>
      <c r="CN23" s="21"/>
      <c r="CO23" s="21"/>
      <c r="CP23" s="21"/>
    </row>
    <row r="24" spans="1:94" s="8" customFormat="1">
      <c r="A24" s="4">
        <v>23</v>
      </c>
      <c r="B24" s="135">
        <v>45446</v>
      </c>
      <c r="C24" s="136" t="s">
        <v>44</v>
      </c>
      <c r="D24" s="148" t="s">
        <v>36</v>
      </c>
      <c r="E24" s="148" t="s">
        <v>151</v>
      </c>
      <c r="F24" s="136" t="s">
        <v>37</v>
      </c>
      <c r="G24" s="136" t="s">
        <v>8</v>
      </c>
      <c r="H24" s="136">
        <v>433</v>
      </c>
      <c r="I24" s="136" t="s">
        <v>9</v>
      </c>
      <c r="K24" s="21">
        <v>0</v>
      </c>
      <c r="L24" s="21">
        <v>0</v>
      </c>
      <c r="M24" s="21">
        <v>0</v>
      </c>
      <c r="N24" s="21">
        <v>2000</v>
      </c>
      <c r="O24" s="21">
        <v>0</v>
      </c>
      <c r="P24" s="21">
        <v>0</v>
      </c>
      <c r="Q24" s="21">
        <v>0</v>
      </c>
      <c r="R24" s="21">
        <v>0</v>
      </c>
      <c r="S24" s="21"/>
      <c r="T24" s="21">
        <v>0</v>
      </c>
      <c r="U24" s="21">
        <v>0</v>
      </c>
      <c r="V24" s="21">
        <v>0</v>
      </c>
      <c r="W24" s="21"/>
      <c r="X24" s="21">
        <v>0</v>
      </c>
      <c r="Y24" s="21">
        <v>0</v>
      </c>
      <c r="Z24" s="21">
        <v>0</v>
      </c>
      <c r="AA24" s="21">
        <v>0</v>
      </c>
      <c r="AB24" s="43">
        <f t="shared" si="19"/>
        <v>2000</v>
      </c>
      <c r="AC24" s="43">
        <f t="shared" si="1"/>
        <v>2000</v>
      </c>
      <c r="AD24" s="21">
        <v>25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f t="shared" si="2"/>
        <v>25</v>
      </c>
      <c r="AK24" s="22">
        <f t="shared" si="22"/>
        <v>9000</v>
      </c>
      <c r="AL24" s="45">
        <f t="shared" si="4"/>
        <v>9000</v>
      </c>
      <c r="AM24" s="45">
        <f t="shared" si="5"/>
        <v>11000</v>
      </c>
      <c r="AN24" s="32">
        <v>360</v>
      </c>
      <c r="AO24" s="21">
        <v>61.75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/>
      <c r="AV24" s="4">
        <v>0</v>
      </c>
      <c r="AW24" s="21">
        <v>0</v>
      </c>
      <c r="AX24" s="21">
        <f t="shared" si="20"/>
        <v>0</v>
      </c>
      <c r="AY24" s="21">
        <v>0</v>
      </c>
      <c r="AZ24" s="21">
        <v>0</v>
      </c>
      <c r="BA24" s="21">
        <v>0</v>
      </c>
      <c r="BB24" s="21">
        <f t="shared" si="23"/>
        <v>61.75</v>
      </c>
      <c r="BC24" s="23">
        <f t="shared" si="7"/>
        <v>31230</v>
      </c>
      <c r="BD24" s="40">
        <f t="shared" si="8"/>
        <v>33230</v>
      </c>
      <c r="BE24" s="40">
        <f t="shared" si="9"/>
        <v>33230</v>
      </c>
      <c r="BF24" s="32">
        <f t="shared" si="13"/>
        <v>360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f t="shared" si="17"/>
        <v>22230</v>
      </c>
      <c r="BM24" s="21"/>
      <c r="BN24" s="21"/>
      <c r="BO24" s="21"/>
      <c r="BP24" s="21">
        <v>1500</v>
      </c>
      <c r="BQ24" s="21">
        <v>0</v>
      </c>
      <c r="BR24" s="21">
        <f>160+190</f>
        <v>350</v>
      </c>
      <c r="BS24" s="21"/>
      <c r="BT24" s="21">
        <v>0</v>
      </c>
      <c r="BU24" s="21">
        <v>0</v>
      </c>
      <c r="BV24" s="21">
        <v>200</v>
      </c>
      <c r="BW24" s="21"/>
      <c r="BX24" s="21"/>
      <c r="BY24" s="21"/>
      <c r="BZ24" s="21"/>
      <c r="CA24" s="21"/>
      <c r="CB24" s="21"/>
      <c r="CC24" s="21"/>
      <c r="CD24" s="21">
        <f>2922.27</f>
        <v>2922.27</v>
      </c>
      <c r="CE24" s="21"/>
      <c r="CF24" s="21"/>
      <c r="CG24" s="21"/>
      <c r="CH24" s="21">
        <v>1000</v>
      </c>
      <c r="CI24" s="18">
        <f t="shared" si="11"/>
        <v>5972.27</v>
      </c>
      <c r="CJ24" s="18"/>
      <c r="CK24" s="18"/>
      <c r="CL24" s="21"/>
      <c r="CM24" s="21"/>
      <c r="CN24" s="21"/>
      <c r="CO24" s="21"/>
      <c r="CP24" s="21"/>
    </row>
    <row r="25" spans="1:94" s="8" customFormat="1">
      <c r="A25" s="4">
        <v>24</v>
      </c>
      <c r="B25" s="283">
        <v>45361</v>
      </c>
      <c r="C25" s="284" t="s">
        <v>72</v>
      </c>
      <c r="D25" s="284"/>
      <c r="E25" s="284" t="s">
        <v>151</v>
      </c>
      <c r="F25" s="284" t="s">
        <v>23</v>
      </c>
      <c r="G25" s="284" t="s">
        <v>8</v>
      </c>
      <c r="H25" s="284">
        <v>453</v>
      </c>
      <c r="I25" s="284" t="s">
        <v>9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43">
        <f t="shared" si="19"/>
        <v>0</v>
      </c>
      <c r="AC25" s="43">
        <f t="shared" si="1"/>
        <v>0</v>
      </c>
      <c r="AD25" s="21"/>
      <c r="AE25" s="21"/>
      <c r="AF25" s="21"/>
      <c r="AG25" s="21"/>
      <c r="AH25" s="21"/>
      <c r="AI25" s="21"/>
      <c r="AJ25" s="21">
        <f t="shared" si="2"/>
        <v>0</v>
      </c>
      <c r="AK25" s="22">
        <f t="shared" si="22"/>
        <v>0</v>
      </c>
      <c r="AL25" s="45">
        <f t="shared" si="4"/>
        <v>0</v>
      </c>
      <c r="AM25" s="45">
        <f t="shared" si="5"/>
        <v>0</v>
      </c>
      <c r="AN25" s="32"/>
      <c r="AO25" s="21"/>
      <c r="AP25" s="21"/>
      <c r="AQ25" s="21"/>
      <c r="AR25" s="21"/>
      <c r="AS25" s="21"/>
      <c r="AT25" s="21"/>
      <c r="AU25" s="21"/>
      <c r="AV25" s="4"/>
      <c r="AW25" s="21"/>
      <c r="AX25" s="21">
        <f t="shared" si="20"/>
        <v>0</v>
      </c>
      <c r="AY25" s="21"/>
      <c r="AZ25" s="21"/>
      <c r="BA25" s="21"/>
      <c r="BB25" s="21">
        <f t="shared" si="23"/>
        <v>0</v>
      </c>
      <c r="BC25" s="23">
        <f t="shared" si="7"/>
        <v>0</v>
      </c>
      <c r="BD25" s="40">
        <f t="shared" si="8"/>
        <v>0</v>
      </c>
      <c r="BE25" s="40">
        <f t="shared" si="9"/>
        <v>0</v>
      </c>
      <c r="BF25" s="32">
        <f t="shared" si="13"/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f t="shared" si="17"/>
        <v>0</v>
      </c>
      <c r="BM25" s="21"/>
      <c r="BN25" s="21"/>
      <c r="BO25" s="21">
        <v>0</v>
      </c>
      <c r="BP25" s="21">
        <v>0</v>
      </c>
      <c r="BQ25" s="21">
        <v>0</v>
      </c>
      <c r="BR25" s="21">
        <f>5*160+180</f>
        <v>980</v>
      </c>
      <c r="BS25" s="21">
        <v>190</v>
      </c>
      <c r="BT25" s="21">
        <v>210</v>
      </c>
      <c r="BU25" s="21">
        <v>190</v>
      </c>
      <c r="BV25" s="21">
        <v>250</v>
      </c>
      <c r="BW25" s="21"/>
      <c r="BX25" s="21"/>
      <c r="BY25" s="21"/>
      <c r="BZ25" s="21"/>
      <c r="CA25" s="21"/>
      <c r="CB25" s="21"/>
      <c r="CC25" s="21"/>
      <c r="CD25" s="21">
        <v>1095.8499999999999</v>
      </c>
      <c r="CE25" s="21"/>
      <c r="CF25" s="21"/>
      <c r="CG25" s="21"/>
      <c r="CH25" s="21">
        <v>250</v>
      </c>
      <c r="CI25" s="18">
        <f t="shared" si="11"/>
        <v>3165.85</v>
      </c>
      <c r="CJ25" s="18"/>
      <c r="CK25" s="18"/>
      <c r="CL25" s="21"/>
      <c r="CM25" s="21"/>
      <c r="CN25" s="21"/>
      <c r="CO25" s="21"/>
      <c r="CP25" s="21"/>
    </row>
    <row r="26" spans="1:94" s="8" customFormat="1">
      <c r="A26" s="4">
        <v>25</v>
      </c>
      <c r="B26" s="137">
        <v>45481</v>
      </c>
      <c r="C26" s="138" t="s">
        <v>487</v>
      </c>
      <c r="D26" s="138"/>
      <c r="E26" s="138" t="s">
        <v>151</v>
      </c>
      <c r="F26" s="138" t="s">
        <v>23</v>
      </c>
      <c r="G26" s="138" t="s">
        <v>8</v>
      </c>
      <c r="H26" s="138">
        <v>446</v>
      </c>
      <c r="I26" s="138" t="s">
        <v>9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43">
        <f t="shared" si="19"/>
        <v>0</v>
      </c>
      <c r="AC26" s="43">
        <f t="shared" si="1"/>
        <v>0</v>
      </c>
      <c r="AD26" s="21"/>
      <c r="AE26" s="21"/>
      <c r="AF26" s="21"/>
      <c r="AG26" s="21"/>
      <c r="AH26" s="21"/>
      <c r="AI26" s="21"/>
      <c r="AJ26" s="21">
        <f t="shared" si="2"/>
        <v>0</v>
      </c>
      <c r="AK26" s="22">
        <f t="shared" si="22"/>
        <v>0</v>
      </c>
      <c r="AL26" s="45">
        <f t="shared" si="4"/>
        <v>0</v>
      </c>
      <c r="AM26" s="45">
        <f t="shared" si="5"/>
        <v>0</v>
      </c>
      <c r="AN26" s="32"/>
      <c r="AO26" s="21"/>
      <c r="AP26" s="21"/>
      <c r="AQ26" s="21"/>
      <c r="AR26" s="21"/>
      <c r="AS26" s="21"/>
      <c r="AT26" s="21"/>
      <c r="AU26" s="21"/>
      <c r="AV26" s="4"/>
      <c r="AW26" s="21"/>
      <c r="AX26" s="21">
        <f t="shared" si="20"/>
        <v>0</v>
      </c>
      <c r="AY26" s="21"/>
      <c r="AZ26" s="21"/>
      <c r="BA26" s="21"/>
      <c r="BB26" s="21">
        <f t="shared" si="23"/>
        <v>0</v>
      </c>
      <c r="BC26" s="23">
        <f t="shared" si="7"/>
        <v>0</v>
      </c>
      <c r="BD26" s="40">
        <f t="shared" si="8"/>
        <v>0</v>
      </c>
      <c r="BE26" s="40">
        <f t="shared" si="9"/>
        <v>0</v>
      </c>
      <c r="BF26" s="32">
        <f t="shared" si="13"/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f t="shared" si="17"/>
        <v>0</v>
      </c>
      <c r="BM26" s="21"/>
      <c r="BN26" s="21"/>
      <c r="BO26" s="21"/>
      <c r="BP26" s="21">
        <v>0</v>
      </c>
      <c r="BQ26" s="21">
        <v>0</v>
      </c>
      <c r="BR26" s="21">
        <f t="shared" ref="BR26:BR27" si="24">4*160+180</f>
        <v>820</v>
      </c>
      <c r="BS26" s="21"/>
      <c r="BT26" s="21">
        <v>0</v>
      </c>
      <c r="BU26" s="21">
        <v>0</v>
      </c>
      <c r="BV26" s="21"/>
      <c r="BW26" s="21"/>
      <c r="BX26" s="21"/>
      <c r="BY26" s="21"/>
      <c r="BZ26" s="21"/>
      <c r="CA26" s="21"/>
      <c r="CB26" s="21"/>
      <c r="CC26" s="21"/>
      <c r="CD26" s="21">
        <v>365.28</v>
      </c>
      <c r="CE26" s="21"/>
      <c r="CF26" s="21"/>
      <c r="CG26" s="21"/>
      <c r="CH26" s="21"/>
      <c r="CI26" s="18">
        <f t="shared" si="11"/>
        <v>1185.28</v>
      </c>
      <c r="CJ26" s="18"/>
      <c r="CK26" s="18"/>
      <c r="CL26" s="21"/>
      <c r="CM26" s="21"/>
      <c r="CN26" s="21"/>
      <c r="CO26" s="21"/>
      <c r="CP26" s="21"/>
    </row>
    <row r="27" spans="1:94" s="8" customFormat="1" ht="14.25" customHeight="1">
      <c r="A27" s="4">
        <v>26</v>
      </c>
      <c r="B27" s="135">
        <v>45462</v>
      </c>
      <c r="C27" s="136" t="s">
        <v>39</v>
      </c>
      <c r="D27" s="136" t="s">
        <v>40</v>
      </c>
      <c r="E27" s="136" t="s">
        <v>151</v>
      </c>
      <c r="F27" s="136" t="s">
        <v>13</v>
      </c>
      <c r="G27" s="136" t="s">
        <v>8</v>
      </c>
      <c r="H27" s="136">
        <v>429</v>
      </c>
      <c r="I27" s="136" t="s">
        <v>9</v>
      </c>
      <c r="K27" s="21">
        <f>1400+14000-1800</f>
        <v>13600</v>
      </c>
      <c r="L27" s="21">
        <v>0</v>
      </c>
      <c r="M27" s="21">
        <v>1800</v>
      </c>
      <c r="N27" s="21">
        <v>7700</v>
      </c>
      <c r="O27" s="21">
        <v>3300</v>
      </c>
      <c r="P27" s="21">
        <v>550</v>
      </c>
      <c r="Q27" s="21">
        <v>0</v>
      </c>
      <c r="R27" s="21">
        <v>0</v>
      </c>
      <c r="S27" s="21"/>
      <c r="T27" s="21">
        <v>0</v>
      </c>
      <c r="U27" s="21">
        <v>0</v>
      </c>
      <c r="V27" s="21">
        <v>0</v>
      </c>
      <c r="W27" s="21"/>
      <c r="X27" s="21">
        <v>0</v>
      </c>
      <c r="Y27" s="21">
        <v>0</v>
      </c>
      <c r="Z27" s="21">
        <v>0</v>
      </c>
      <c r="AA27" s="21">
        <v>0</v>
      </c>
      <c r="AB27" s="43">
        <f t="shared" si="19"/>
        <v>26950</v>
      </c>
      <c r="AC27" s="43">
        <f t="shared" si="1"/>
        <v>26950</v>
      </c>
      <c r="AD27" s="21">
        <v>25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f t="shared" si="2"/>
        <v>25</v>
      </c>
      <c r="AK27" s="22">
        <f t="shared" si="22"/>
        <v>15000</v>
      </c>
      <c r="AL27" s="45">
        <f t="shared" si="4"/>
        <v>15000</v>
      </c>
      <c r="AM27" s="45">
        <f t="shared" si="5"/>
        <v>41950</v>
      </c>
      <c r="AN27" s="32">
        <v>600</v>
      </c>
      <c r="AO27" s="21">
        <v>89</v>
      </c>
      <c r="AP27" s="21">
        <v>0</v>
      </c>
      <c r="AQ27" s="21">
        <v>8500</v>
      </c>
      <c r="AR27" s="21">
        <v>0</v>
      </c>
      <c r="AS27" s="21">
        <v>0</v>
      </c>
      <c r="AT27" s="21">
        <v>0</v>
      </c>
      <c r="AU27" s="21"/>
      <c r="AV27" s="4">
        <v>0</v>
      </c>
      <c r="AW27" s="21">
        <v>0</v>
      </c>
      <c r="AX27" s="21">
        <f t="shared" si="20"/>
        <v>0</v>
      </c>
      <c r="AY27" s="21">
        <v>0</v>
      </c>
      <c r="AZ27" s="21">
        <v>0</v>
      </c>
      <c r="BA27" s="21">
        <v>0</v>
      </c>
      <c r="BB27" s="21">
        <f t="shared" si="23"/>
        <v>89</v>
      </c>
      <c r="BC27" s="23">
        <f t="shared" si="7"/>
        <v>76900</v>
      </c>
      <c r="BD27" s="40">
        <f t="shared" si="8"/>
        <v>103850</v>
      </c>
      <c r="BE27" s="40">
        <f t="shared" si="9"/>
        <v>103850</v>
      </c>
      <c r="BF27" s="32">
        <f t="shared" si="13"/>
        <v>600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f t="shared" si="17"/>
        <v>53400</v>
      </c>
      <c r="BM27" s="21"/>
      <c r="BN27" s="21"/>
      <c r="BO27" s="21"/>
      <c r="BP27" s="21">
        <v>3950</v>
      </c>
      <c r="BQ27" s="21">
        <v>0</v>
      </c>
      <c r="BR27" s="21">
        <f t="shared" si="24"/>
        <v>820</v>
      </c>
      <c r="BS27" s="21"/>
      <c r="BT27" s="21">
        <v>0</v>
      </c>
      <c r="BU27" s="21">
        <v>0</v>
      </c>
      <c r="BV27" s="21">
        <v>450</v>
      </c>
      <c r="BW27" s="21">
        <v>958</v>
      </c>
      <c r="BX27" s="21"/>
      <c r="BY27" s="21">
        <v>320</v>
      </c>
      <c r="BZ27" s="21"/>
      <c r="CA27" s="21"/>
      <c r="CB27" s="21"/>
      <c r="CC27" s="21"/>
      <c r="CD27" s="21">
        <f>4383.4</f>
        <v>4383.3999999999996</v>
      </c>
      <c r="CE27" s="21"/>
      <c r="CF27" s="21"/>
      <c r="CG27" s="21"/>
      <c r="CH27" s="21"/>
      <c r="CI27" s="18">
        <f t="shared" si="11"/>
        <v>10881.4</v>
      </c>
      <c r="CJ27" s="18"/>
      <c r="CK27" s="18"/>
      <c r="CL27" s="21"/>
      <c r="CM27" s="21"/>
      <c r="CN27" s="21"/>
      <c r="CO27" s="21"/>
      <c r="CP27" s="21"/>
    </row>
    <row r="28" spans="1:94" s="8" customFormat="1">
      <c r="A28" s="4">
        <v>27</v>
      </c>
      <c r="B28" s="135">
        <v>45465</v>
      </c>
      <c r="C28" s="136" t="s">
        <v>41</v>
      </c>
      <c r="D28" s="136"/>
      <c r="E28" s="136" t="s">
        <v>151</v>
      </c>
      <c r="F28" s="136" t="s">
        <v>13</v>
      </c>
      <c r="G28" s="136" t="s">
        <v>8</v>
      </c>
      <c r="H28" s="136">
        <v>430</v>
      </c>
      <c r="I28" s="136" t="s">
        <v>9</v>
      </c>
      <c r="K28" s="21">
        <v>14000</v>
      </c>
      <c r="L28" s="21">
        <v>0</v>
      </c>
      <c r="M28" s="21">
        <v>1800</v>
      </c>
      <c r="N28" s="21">
        <v>5040</v>
      </c>
      <c r="O28" s="21">
        <v>1320</v>
      </c>
      <c r="P28" s="21">
        <v>550</v>
      </c>
      <c r="Q28" s="21">
        <v>0</v>
      </c>
      <c r="R28" s="21"/>
      <c r="S28" s="21"/>
      <c r="T28" s="21">
        <v>0</v>
      </c>
      <c r="U28" s="21">
        <v>31449.43</v>
      </c>
      <c r="V28" s="21">
        <v>0</v>
      </c>
      <c r="W28" s="21">
        <v>3700</v>
      </c>
      <c r="X28" s="21">
        <v>0</v>
      </c>
      <c r="Y28" s="21">
        <v>0</v>
      </c>
      <c r="Z28" s="21">
        <v>3393.45</v>
      </c>
      <c r="AA28" s="21">
        <v>0</v>
      </c>
      <c r="AB28" s="43">
        <f t="shared" si="19"/>
        <v>22710</v>
      </c>
      <c r="AC28" s="43">
        <f t="shared" si="1"/>
        <v>57552.880000000005</v>
      </c>
      <c r="AD28" s="21">
        <v>35</v>
      </c>
      <c r="AE28" s="21">
        <v>0</v>
      </c>
      <c r="AF28" s="21">
        <v>12950</v>
      </c>
      <c r="AG28" s="21">
        <v>2250</v>
      </c>
      <c r="AH28" s="21">
        <v>0</v>
      </c>
      <c r="AI28" s="21">
        <v>0</v>
      </c>
      <c r="AJ28" s="21">
        <f t="shared" si="2"/>
        <v>35</v>
      </c>
      <c r="AK28" s="22">
        <f t="shared" si="22"/>
        <v>10500</v>
      </c>
      <c r="AL28" s="45">
        <f t="shared" si="4"/>
        <v>25700</v>
      </c>
      <c r="AM28" s="45">
        <f t="shared" si="5"/>
        <v>83252.88</v>
      </c>
      <c r="AN28" s="32">
        <v>300</v>
      </c>
      <c r="AO28" s="21">
        <v>141</v>
      </c>
      <c r="AP28" s="21">
        <v>12</v>
      </c>
      <c r="AQ28" s="21">
        <f>6100+155</f>
        <v>6255</v>
      </c>
      <c r="AR28" s="21">
        <v>0</v>
      </c>
      <c r="AS28" s="21">
        <v>0</v>
      </c>
      <c r="AT28" s="21">
        <v>0</v>
      </c>
      <c r="AU28" s="21"/>
      <c r="AV28" s="4">
        <v>50</v>
      </c>
      <c r="AW28" s="21">
        <v>244</v>
      </c>
      <c r="AX28" s="21">
        <f t="shared" si="20"/>
        <v>12200</v>
      </c>
      <c r="AY28" s="21">
        <v>0</v>
      </c>
      <c r="AZ28" s="21">
        <v>0</v>
      </c>
      <c r="BA28" s="21">
        <v>9363.39</v>
      </c>
      <c r="BB28" s="21">
        <f t="shared" si="23"/>
        <v>153</v>
      </c>
      <c r="BC28" s="23">
        <f t="shared" si="7"/>
        <v>62655</v>
      </c>
      <c r="BD28" s="40">
        <f t="shared" si="8"/>
        <v>85365</v>
      </c>
      <c r="BE28" s="40">
        <f t="shared" si="9"/>
        <v>156971.27000000002</v>
      </c>
      <c r="BF28" s="32">
        <f t="shared" si="13"/>
        <v>350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f t="shared" si="17"/>
        <v>42300</v>
      </c>
      <c r="BM28" s="21"/>
      <c r="BN28" s="21"/>
      <c r="BO28" s="21">
        <v>0</v>
      </c>
      <c r="BP28" s="21">
        <v>3950</v>
      </c>
      <c r="BQ28" s="21">
        <v>0</v>
      </c>
      <c r="BR28" s="21">
        <f>4*160+180</f>
        <v>820</v>
      </c>
      <c r="BS28" s="21">
        <v>1150</v>
      </c>
      <c r="BT28" s="21">
        <v>0</v>
      </c>
      <c r="BU28" s="21">
        <v>0</v>
      </c>
      <c r="BV28" s="21">
        <v>450</v>
      </c>
      <c r="BW28" s="21">
        <f>2339.5+1685.14</f>
        <v>4024.6400000000003</v>
      </c>
      <c r="BX28" s="21"/>
      <c r="BY28" s="21">
        <f>54.96+415</f>
        <v>469.96</v>
      </c>
      <c r="BZ28" s="21"/>
      <c r="CA28" s="21"/>
      <c r="CB28" s="21"/>
      <c r="CC28" s="21"/>
      <c r="CD28" s="21">
        <v>2339.9</v>
      </c>
      <c r="CE28" s="21"/>
      <c r="CF28" s="21"/>
      <c r="CG28" s="21"/>
      <c r="CH28" s="21">
        <f>1500+1128+2750</f>
        <v>5378</v>
      </c>
      <c r="CI28" s="18">
        <f t="shared" si="11"/>
        <v>18582.5</v>
      </c>
      <c r="CJ28" s="18"/>
      <c r="CK28" s="18"/>
      <c r="CL28" s="21"/>
      <c r="CM28" s="21"/>
      <c r="CN28" s="21"/>
      <c r="CO28" s="21"/>
      <c r="CP28" s="21"/>
    </row>
    <row r="29" spans="1:94" s="8" customFormat="1">
      <c r="A29" s="4">
        <v>28</v>
      </c>
      <c r="B29" s="135">
        <v>45486</v>
      </c>
      <c r="C29" s="136" t="s">
        <v>57</v>
      </c>
      <c r="D29" s="136" t="s">
        <v>57</v>
      </c>
      <c r="E29" s="136" t="s">
        <v>151</v>
      </c>
      <c r="F29" s="136" t="s">
        <v>13</v>
      </c>
      <c r="G29" s="136" t="s">
        <v>8</v>
      </c>
      <c r="H29" s="136">
        <v>375</v>
      </c>
      <c r="I29" s="136" t="s">
        <v>9</v>
      </c>
      <c r="K29" s="21">
        <f>8000</f>
        <v>8000</v>
      </c>
      <c r="L29" s="21">
        <v>1600</v>
      </c>
      <c r="M29" s="21">
        <v>1800</v>
      </c>
      <c r="N29" s="21">
        <f>1500+2000+5500</f>
        <v>9000</v>
      </c>
      <c r="O29" s="21">
        <v>2750</v>
      </c>
      <c r="P29" s="21"/>
      <c r="Q29" s="21">
        <v>133522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43">
        <f t="shared" si="19"/>
        <v>156672</v>
      </c>
      <c r="AC29" s="43">
        <f t="shared" si="1"/>
        <v>156672</v>
      </c>
      <c r="AD29" s="21">
        <v>30</v>
      </c>
      <c r="AE29" s="21">
        <v>40</v>
      </c>
      <c r="AF29" s="21"/>
      <c r="AG29" s="21"/>
      <c r="AH29" s="21"/>
      <c r="AI29" s="21"/>
      <c r="AJ29" s="21">
        <f t="shared" si="2"/>
        <v>70</v>
      </c>
      <c r="AK29" s="22">
        <f t="shared" si="22"/>
        <v>26600</v>
      </c>
      <c r="AL29" s="45">
        <f t="shared" si="4"/>
        <v>26600</v>
      </c>
      <c r="AM29" s="45">
        <f t="shared" si="5"/>
        <v>183272</v>
      </c>
      <c r="AN29" s="32">
        <v>380</v>
      </c>
      <c r="AO29" s="21">
        <v>254</v>
      </c>
      <c r="AP29" s="21">
        <v>0</v>
      </c>
      <c r="AQ29" s="21">
        <v>8000</v>
      </c>
      <c r="AR29" s="21">
        <v>0</v>
      </c>
      <c r="AS29" s="21">
        <v>0</v>
      </c>
      <c r="AT29" s="21">
        <v>0</v>
      </c>
      <c r="AU29" s="21"/>
      <c r="AV29" s="4">
        <v>0</v>
      </c>
      <c r="AW29" s="21">
        <v>0</v>
      </c>
      <c r="AX29" s="21">
        <f t="shared" si="20"/>
        <v>0</v>
      </c>
      <c r="AY29" s="21">
        <v>0</v>
      </c>
      <c r="AZ29" s="21">
        <v>0</v>
      </c>
      <c r="BA29" s="21">
        <f>23153-102</f>
        <v>23051</v>
      </c>
      <c r="BB29" s="21">
        <f t="shared" si="23"/>
        <v>254</v>
      </c>
      <c r="BC29" s="23">
        <f t="shared" si="7"/>
        <v>131120</v>
      </c>
      <c r="BD29" s="40">
        <f t="shared" si="8"/>
        <v>287792</v>
      </c>
      <c r="BE29" s="40">
        <f t="shared" si="9"/>
        <v>310843</v>
      </c>
      <c r="BF29" s="32">
        <f t="shared" si="13"/>
        <v>380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f t="shared" si="17"/>
        <v>96520</v>
      </c>
      <c r="BM29" s="21"/>
      <c r="BN29" s="21"/>
      <c r="BO29" s="21"/>
      <c r="BP29" s="21">
        <v>3950</v>
      </c>
      <c r="BQ29" s="21">
        <v>0</v>
      </c>
      <c r="BR29" s="21">
        <f>5*160+4*160+180+2*160</f>
        <v>1940</v>
      </c>
      <c r="BS29" s="21"/>
      <c r="BT29" s="21">
        <v>190</v>
      </c>
      <c r="BU29" s="21">
        <v>0</v>
      </c>
      <c r="BV29" s="21">
        <f>450+250</f>
        <v>700</v>
      </c>
      <c r="BW29" s="21"/>
      <c r="BX29" s="21"/>
      <c r="BY29" s="21"/>
      <c r="BZ29" s="21"/>
      <c r="CA29" s="21"/>
      <c r="CB29" s="21"/>
      <c r="CC29" s="21"/>
      <c r="CD29" s="21">
        <f>3390.45+3386.25</f>
        <v>6776.7</v>
      </c>
      <c r="CE29" s="21"/>
      <c r="CF29" s="21"/>
      <c r="CG29" s="21"/>
      <c r="CH29" s="21">
        <v>74</v>
      </c>
      <c r="CI29" s="18">
        <f t="shared" si="11"/>
        <v>13630.7</v>
      </c>
      <c r="CJ29" s="18"/>
      <c r="CK29" s="18"/>
      <c r="CL29" s="21"/>
      <c r="CM29" s="21">
        <v>540</v>
      </c>
      <c r="CN29" s="21"/>
      <c r="CO29" s="21"/>
      <c r="CP29" s="21"/>
    </row>
    <row r="30" spans="1:94" s="8" customFormat="1">
      <c r="A30" s="4">
        <v>29</v>
      </c>
      <c r="B30" s="135">
        <v>45499</v>
      </c>
      <c r="C30" s="136" t="s">
        <v>27</v>
      </c>
      <c r="D30" s="136" t="s">
        <v>28</v>
      </c>
      <c r="E30" s="136" t="s">
        <v>151</v>
      </c>
      <c r="F30" s="136" t="s">
        <v>24</v>
      </c>
      <c r="G30" s="136" t="s">
        <v>8</v>
      </c>
      <c r="H30" s="136">
        <v>363</v>
      </c>
      <c r="I30" s="136" t="s">
        <v>9</v>
      </c>
      <c r="K30" s="21">
        <f>28000+4000</f>
        <v>32000</v>
      </c>
      <c r="L30" s="21">
        <v>2800</v>
      </c>
      <c r="M30" s="21">
        <v>2000</v>
      </c>
      <c r="N30" s="21">
        <v>4000</v>
      </c>
      <c r="O30" s="21">
        <v>0</v>
      </c>
      <c r="P30" s="21">
        <v>0</v>
      </c>
      <c r="Q30" s="21">
        <v>0</v>
      </c>
      <c r="R30" s="21">
        <v>0</v>
      </c>
      <c r="S30" s="21"/>
      <c r="T30" s="21">
        <v>0</v>
      </c>
      <c r="U30" s="21">
        <v>4000</v>
      </c>
      <c r="V30" s="21">
        <v>1600</v>
      </c>
      <c r="W30" s="21"/>
      <c r="X30" s="21">
        <v>0</v>
      </c>
      <c r="Y30" s="21">
        <v>0</v>
      </c>
      <c r="Z30" s="21">
        <v>0</v>
      </c>
      <c r="AA30" s="21">
        <v>0</v>
      </c>
      <c r="AB30" s="43">
        <f t="shared" si="19"/>
        <v>40800</v>
      </c>
      <c r="AC30" s="43">
        <f t="shared" si="1"/>
        <v>46400</v>
      </c>
      <c r="AD30" s="21">
        <v>70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f t="shared" si="2"/>
        <v>70</v>
      </c>
      <c r="AK30" s="22">
        <f t="shared" si="22"/>
        <v>22680</v>
      </c>
      <c r="AL30" s="45">
        <f t="shared" si="4"/>
        <v>22680</v>
      </c>
      <c r="AM30" s="45">
        <f t="shared" si="5"/>
        <v>69080</v>
      </c>
      <c r="AN30" s="32">
        <v>324</v>
      </c>
      <c r="AO30" s="21">
        <v>127</v>
      </c>
      <c r="AP30" s="21">
        <v>10</v>
      </c>
      <c r="AQ30" s="21">
        <v>0</v>
      </c>
      <c r="AR30" s="21">
        <v>0</v>
      </c>
      <c r="AS30" s="21">
        <v>0</v>
      </c>
      <c r="AT30" s="21">
        <v>0</v>
      </c>
      <c r="AU30" s="21"/>
      <c r="AV30" s="4">
        <v>66</v>
      </c>
      <c r="AW30" s="21">
        <v>207</v>
      </c>
      <c r="AX30" s="21">
        <f t="shared" si="20"/>
        <v>13662</v>
      </c>
      <c r="AY30" s="21">
        <v>0</v>
      </c>
      <c r="AZ30" s="21">
        <v>0</v>
      </c>
      <c r="BA30" s="21" t="s">
        <v>119</v>
      </c>
      <c r="BB30" s="21">
        <f t="shared" si="23"/>
        <v>137</v>
      </c>
      <c r="BC30" s="23">
        <f t="shared" si="7"/>
        <v>67068</v>
      </c>
      <c r="BD30" s="40">
        <f t="shared" si="8"/>
        <v>107868</v>
      </c>
      <c r="BE30" s="40" t="e">
        <f t="shared" si="9"/>
        <v>#VALUE!</v>
      </c>
      <c r="BF30" s="32">
        <f t="shared" si="13"/>
        <v>390</v>
      </c>
      <c r="BG30" s="21">
        <v>0</v>
      </c>
      <c r="BH30" s="21">
        <v>0</v>
      </c>
      <c r="BI30" s="21">
        <f>BD30*10%</f>
        <v>10786.800000000001</v>
      </c>
      <c r="BJ30" s="21">
        <v>0</v>
      </c>
      <c r="BK30" s="21">
        <v>0</v>
      </c>
      <c r="BL30" s="21">
        <f t="shared" si="17"/>
        <v>41148</v>
      </c>
      <c r="BM30" s="21"/>
      <c r="BN30" s="21"/>
      <c r="BO30" s="21"/>
      <c r="BP30" s="21">
        <v>6425</v>
      </c>
      <c r="BQ30" s="21">
        <v>0</v>
      </c>
      <c r="BR30" s="21">
        <f>9*160+180</f>
        <v>1620</v>
      </c>
      <c r="BS30" s="21"/>
      <c r="BT30" s="21">
        <v>160</v>
      </c>
      <c r="BU30" s="21"/>
      <c r="BV30" s="21">
        <f>450+250</f>
        <v>700</v>
      </c>
      <c r="BW30" s="21">
        <f>224</f>
        <v>224</v>
      </c>
      <c r="BX30" s="21"/>
      <c r="BY30" s="21"/>
      <c r="BZ30" s="21"/>
      <c r="CA30" s="21"/>
      <c r="CB30" s="21"/>
      <c r="CC30" s="21"/>
      <c r="CD30" s="21">
        <f>4055.6+4548</f>
        <v>8603.6</v>
      </c>
      <c r="CE30" s="21"/>
      <c r="CF30" s="21"/>
      <c r="CG30" s="21"/>
      <c r="CH30" s="21"/>
      <c r="CI30" s="18">
        <f t="shared" si="11"/>
        <v>17732.599999999999</v>
      </c>
      <c r="CJ30" s="18"/>
      <c r="CK30" s="18"/>
      <c r="CL30" s="21"/>
      <c r="CM30" s="21"/>
      <c r="CN30" s="21"/>
      <c r="CO30" s="21"/>
      <c r="CP30" s="21"/>
    </row>
    <row r="31" spans="1:94" s="8" customFormat="1">
      <c r="A31" s="4">
        <v>30</v>
      </c>
      <c r="B31" s="137">
        <v>45500</v>
      </c>
      <c r="C31" s="138" t="s">
        <v>68</v>
      </c>
      <c r="D31" s="136"/>
      <c r="E31" s="136"/>
      <c r="F31" s="136"/>
      <c r="G31" s="136" t="s">
        <v>8</v>
      </c>
      <c r="H31" s="136">
        <v>441</v>
      </c>
      <c r="I31" s="136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43">
        <f t="shared" si="19"/>
        <v>0</v>
      </c>
      <c r="AC31" s="43">
        <f t="shared" si="1"/>
        <v>0</v>
      </c>
      <c r="AD31" s="21"/>
      <c r="AE31" s="21"/>
      <c r="AF31" s="21"/>
      <c r="AG31" s="21"/>
      <c r="AH31" s="21"/>
      <c r="AI31" s="21"/>
      <c r="AJ31" s="21">
        <f t="shared" si="2"/>
        <v>0</v>
      </c>
      <c r="AK31" s="22">
        <f t="shared" si="22"/>
        <v>0</v>
      </c>
      <c r="AL31" s="45">
        <f t="shared" si="4"/>
        <v>0</v>
      </c>
      <c r="AM31" s="45">
        <f t="shared" si="5"/>
        <v>0</v>
      </c>
      <c r="AN31" s="32"/>
      <c r="AO31" s="21"/>
      <c r="AP31" s="21"/>
      <c r="AQ31" s="21"/>
      <c r="AR31" s="21"/>
      <c r="AS31" s="21"/>
      <c r="AT31" s="21"/>
      <c r="AU31" s="21"/>
      <c r="AV31" s="4"/>
      <c r="AW31" s="21"/>
      <c r="AX31" s="21">
        <f t="shared" si="20"/>
        <v>0</v>
      </c>
      <c r="AY31" s="21"/>
      <c r="AZ31" s="21"/>
      <c r="BA31" s="21"/>
      <c r="BB31" s="21">
        <f t="shared" si="23"/>
        <v>0</v>
      </c>
      <c r="BC31" s="23">
        <f t="shared" si="7"/>
        <v>0</v>
      </c>
      <c r="BD31" s="40">
        <f t="shared" si="8"/>
        <v>0</v>
      </c>
      <c r="BE31" s="40">
        <f t="shared" si="9"/>
        <v>0</v>
      </c>
      <c r="BF31" s="32">
        <f t="shared" si="13"/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f t="shared" si="17"/>
        <v>0</v>
      </c>
      <c r="BM31" s="21"/>
      <c r="BN31" s="21"/>
      <c r="BO31" s="21"/>
      <c r="BP31" s="21">
        <v>0</v>
      </c>
      <c r="BQ31" s="21">
        <v>0</v>
      </c>
      <c r="BR31" s="21"/>
      <c r="BS31" s="21"/>
      <c r="BT31" s="21">
        <v>0</v>
      </c>
      <c r="BU31" s="21">
        <v>0</v>
      </c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18">
        <f t="shared" si="11"/>
        <v>0</v>
      </c>
      <c r="CJ31" s="18"/>
      <c r="CK31" s="18"/>
      <c r="CL31" s="21"/>
      <c r="CM31" s="21"/>
      <c r="CN31" s="21"/>
      <c r="CO31" s="21"/>
      <c r="CP31" s="21"/>
    </row>
    <row r="32" spans="1:94" s="8" customFormat="1">
      <c r="A32" s="4">
        <v>31</v>
      </c>
      <c r="B32" s="135">
        <v>45507</v>
      </c>
      <c r="C32" s="136" t="s">
        <v>42</v>
      </c>
      <c r="D32" s="136"/>
      <c r="E32" s="136" t="s">
        <v>151</v>
      </c>
      <c r="F32" s="136" t="s">
        <v>43</v>
      </c>
      <c r="G32" s="136" t="s">
        <v>8</v>
      </c>
      <c r="H32" s="136">
        <v>452</v>
      </c>
      <c r="I32" s="136" t="s">
        <v>9</v>
      </c>
      <c r="K32" s="21">
        <v>21577</v>
      </c>
      <c r="L32" s="21">
        <v>0</v>
      </c>
      <c r="M32" s="21">
        <v>2500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/>
      <c r="T32" s="21">
        <v>440</v>
      </c>
      <c r="U32" s="21">
        <v>0</v>
      </c>
      <c r="V32" s="21">
        <v>0</v>
      </c>
      <c r="W32" s="21"/>
      <c r="X32" s="21">
        <v>0</v>
      </c>
      <c r="Y32" s="21">
        <v>0</v>
      </c>
      <c r="Z32" s="21">
        <v>0</v>
      </c>
      <c r="AA32" s="21">
        <v>0</v>
      </c>
      <c r="AB32" s="43">
        <f t="shared" si="19"/>
        <v>24517</v>
      </c>
      <c r="AC32" s="43">
        <f t="shared" si="1"/>
        <v>24517</v>
      </c>
      <c r="AD32" s="21">
        <v>1</v>
      </c>
      <c r="AE32" s="21"/>
      <c r="AF32" s="21"/>
      <c r="AG32" s="21"/>
      <c r="AH32" s="21"/>
      <c r="AI32" s="21"/>
      <c r="AJ32" s="21">
        <f t="shared" si="2"/>
        <v>1</v>
      </c>
      <c r="AK32" s="22">
        <f t="shared" si="22"/>
        <v>3000</v>
      </c>
      <c r="AL32" s="45">
        <f t="shared" si="4"/>
        <v>3000</v>
      </c>
      <c r="AM32" s="45">
        <f t="shared" si="5"/>
        <v>27517</v>
      </c>
      <c r="AN32" s="32">
        <v>3000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250</v>
      </c>
      <c r="AU32" s="21"/>
      <c r="AV32" s="4">
        <v>10</v>
      </c>
      <c r="AW32" s="21">
        <v>35</v>
      </c>
      <c r="AX32" s="21">
        <f t="shared" si="20"/>
        <v>350</v>
      </c>
      <c r="AY32" s="21">
        <v>0</v>
      </c>
      <c r="AZ32" s="21">
        <v>0</v>
      </c>
      <c r="BA32" s="21">
        <v>0</v>
      </c>
      <c r="BB32" s="21">
        <f t="shared" si="23"/>
        <v>0</v>
      </c>
      <c r="BC32" s="23">
        <f>AX32</f>
        <v>350</v>
      </c>
      <c r="BD32" s="40">
        <f>BC32+AB32</f>
        <v>24867</v>
      </c>
      <c r="BE32" s="40">
        <f t="shared" si="9"/>
        <v>25467</v>
      </c>
      <c r="BF32" s="32">
        <f t="shared" si="13"/>
        <v>3010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f t="shared" si="17"/>
        <v>0</v>
      </c>
      <c r="BM32" s="21"/>
      <c r="BN32" s="21"/>
      <c r="BO32" s="21"/>
      <c r="BP32" s="21">
        <v>3950</v>
      </c>
      <c r="BQ32" s="21">
        <v>0</v>
      </c>
      <c r="BR32" s="21">
        <f>6*160+180+160</f>
        <v>1300</v>
      </c>
      <c r="BS32" s="21"/>
      <c r="BT32" s="21">
        <f>640+160</f>
        <v>800</v>
      </c>
      <c r="BU32" s="21">
        <v>0</v>
      </c>
      <c r="BV32" s="21">
        <f>300+250</f>
        <v>550</v>
      </c>
      <c r="BW32" s="21"/>
      <c r="BX32" s="21"/>
      <c r="BY32" s="21">
        <v>1460</v>
      </c>
      <c r="BZ32" s="21"/>
      <c r="CA32" s="21"/>
      <c r="CB32" s="21"/>
      <c r="CC32" s="21"/>
      <c r="CD32" s="21">
        <f>4055.6+4548</f>
        <v>8603.6</v>
      </c>
      <c r="CE32" s="21"/>
      <c r="CF32" s="21"/>
      <c r="CG32" s="21"/>
      <c r="CH32" s="21"/>
      <c r="CI32" s="18">
        <f t="shared" si="11"/>
        <v>16663.599999999999</v>
      </c>
      <c r="CJ32" s="18"/>
      <c r="CK32" s="18"/>
      <c r="CL32" s="21"/>
      <c r="CM32" s="21"/>
      <c r="CN32" s="21"/>
      <c r="CO32" s="21"/>
      <c r="CP32" s="21"/>
    </row>
    <row r="33" spans="1:94" s="8" customFormat="1">
      <c r="A33" s="4">
        <v>32</v>
      </c>
      <c r="B33" s="135">
        <v>45520</v>
      </c>
      <c r="C33" s="136" t="s">
        <v>62</v>
      </c>
      <c r="D33" s="136"/>
      <c r="E33" s="136" t="s">
        <v>151</v>
      </c>
      <c r="F33" s="136" t="s">
        <v>56</v>
      </c>
      <c r="G33" s="136" t="s">
        <v>8</v>
      </c>
      <c r="H33" s="136">
        <v>400</v>
      </c>
      <c r="I33" s="136" t="s">
        <v>9</v>
      </c>
      <c r="K33" s="21">
        <v>9000</v>
      </c>
      <c r="L33" s="21"/>
      <c r="M33" s="21"/>
      <c r="N33" s="21">
        <v>5740</v>
      </c>
      <c r="O33" s="21">
        <f>4*250+1650</f>
        <v>2650</v>
      </c>
      <c r="P33" s="21"/>
      <c r="Q33" s="21"/>
      <c r="R33" s="21">
        <f>3700-1000</f>
        <v>2700</v>
      </c>
      <c r="S33" s="21"/>
      <c r="T33" s="21"/>
      <c r="U33" s="21">
        <v>8520</v>
      </c>
      <c r="V33" s="21"/>
      <c r="W33" s="21"/>
      <c r="X33" s="21"/>
      <c r="Y33" s="21"/>
      <c r="Z33" s="21"/>
      <c r="AA33" s="21"/>
      <c r="AB33" s="43">
        <f t="shared" si="19"/>
        <v>20090</v>
      </c>
      <c r="AC33" s="43">
        <f t="shared" si="1"/>
        <v>28610</v>
      </c>
      <c r="AD33" s="21">
        <v>20.38</v>
      </c>
      <c r="AE33" s="21">
        <v>64.739999999999995</v>
      </c>
      <c r="AF33" s="21">
        <v>0</v>
      </c>
      <c r="AG33" s="21">
        <v>0</v>
      </c>
      <c r="AH33" s="21">
        <v>0</v>
      </c>
      <c r="AI33" s="21">
        <v>0</v>
      </c>
      <c r="AJ33" s="21">
        <f t="shared" si="2"/>
        <v>85.11999999999999</v>
      </c>
      <c r="AK33" s="22">
        <f t="shared" si="22"/>
        <v>24429.439999999999</v>
      </c>
      <c r="AL33" s="45">
        <f t="shared" si="4"/>
        <v>24429.439999999999</v>
      </c>
      <c r="AM33" s="45">
        <f t="shared" si="5"/>
        <v>53039.44</v>
      </c>
      <c r="AN33" s="32">
        <v>287</v>
      </c>
      <c r="AO33" s="21">
        <v>125.87</v>
      </c>
      <c r="AP33" s="21">
        <v>9.9</v>
      </c>
      <c r="AQ33" s="21">
        <v>2750</v>
      </c>
      <c r="AR33" s="21"/>
      <c r="AS33" s="21"/>
      <c r="AT33" s="21"/>
      <c r="AU33" s="21">
        <v>2000</v>
      </c>
      <c r="AV33" s="4">
        <v>26</v>
      </c>
      <c r="AW33" s="21">
        <v>110</v>
      </c>
      <c r="AX33" s="21">
        <f t="shared" si="20"/>
        <v>2860</v>
      </c>
      <c r="AY33" s="21"/>
      <c r="AZ33" s="21"/>
      <c r="BA33" s="21"/>
      <c r="BB33" s="21">
        <f t="shared" si="23"/>
        <v>135.77000000000001</v>
      </c>
      <c r="BC33" s="23">
        <f t="shared" si="7"/>
        <v>66145.429999999993</v>
      </c>
      <c r="BD33" s="40">
        <f t="shared" si="8"/>
        <v>86235.43</v>
      </c>
      <c r="BE33" s="40">
        <f t="shared" si="9"/>
        <v>97615.43</v>
      </c>
      <c r="BF33" s="32">
        <f t="shared" si="13"/>
        <v>313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f t="shared" si="17"/>
        <v>36124.69</v>
      </c>
      <c r="BM33" s="21"/>
      <c r="BN33" s="21"/>
      <c r="BO33" s="21"/>
      <c r="BP33" s="21">
        <v>5450</v>
      </c>
      <c r="BQ33" s="21">
        <v>0</v>
      </c>
      <c r="BR33" s="21">
        <f>160+320+820</f>
        <v>1300</v>
      </c>
      <c r="BS33" s="21">
        <v>360</v>
      </c>
      <c r="BT33" s="21">
        <v>190</v>
      </c>
      <c r="BU33" s="21">
        <v>1100</v>
      </c>
      <c r="BV33" s="21">
        <v>300</v>
      </c>
      <c r="BW33" s="21"/>
      <c r="BX33" s="21">
        <f>1735.15+3547.92</f>
        <v>5283.07</v>
      </c>
      <c r="BY33" s="21"/>
      <c r="BZ33" s="21">
        <v>950</v>
      </c>
      <c r="CA33" s="21"/>
      <c r="CB33" s="21">
        <v>865.5</v>
      </c>
      <c r="CC33" s="21"/>
      <c r="CD33" s="21">
        <f>2914.2</f>
        <v>2914.2</v>
      </c>
      <c r="CE33" s="21">
        <v>3237.55</v>
      </c>
      <c r="CF33" s="21"/>
      <c r="CG33" s="21"/>
      <c r="CH33" s="21">
        <f>1959</f>
        <v>1959</v>
      </c>
      <c r="CI33" s="18">
        <f t="shared" si="11"/>
        <v>23909.32</v>
      </c>
      <c r="CJ33" s="18"/>
      <c r="CK33" s="18"/>
      <c r="CL33" s="21"/>
      <c r="CM33" s="21"/>
      <c r="CN33" s="21"/>
      <c r="CO33" s="21"/>
      <c r="CP33" s="21"/>
    </row>
    <row r="34" spans="1:94" s="8" customFormat="1">
      <c r="A34" s="4">
        <v>33</v>
      </c>
      <c r="B34" s="135">
        <v>45521</v>
      </c>
      <c r="C34" s="136" t="s">
        <v>25</v>
      </c>
      <c r="D34" s="136" t="s">
        <v>15</v>
      </c>
      <c r="E34" s="136" t="s">
        <v>151</v>
      </c>
      <c r="F34" s="136" t="s">
        <v>24</v>
      </c>
      <c r="G34" s="136" t="s">
        <v>8</v>
      </c>
      <c r="H34" s="136">
        <v>345</v>
      </c>
      <c r="I34" s="136" t="s">
        <v>9</v>
      </c>
      <c r="K34" s="21">
        <v>20000</v>
      </c>
      <c r="L34" s="21">
        <v>2000</v>
      </c>
      <c r="M34" s="21">
        <v>1500</v>
      </c>
      <c r="N34" s="21">
        <v>7300</v>
      </c>
      <c r="O34" s="21">
        <v>0</v>
      </c>
      <c r="P34" s="21">
        <v>0</v>
      </c>
      <c r="Q34" s="21">
        <v>0</v>
      </c>
      <c r="R34" s="21">
        <v>0</v>
      </c>
      <c r="S34" s="21"/>
      <c r="T34" s="21">
        <v>0</v>
      </c>
      <c r="U34" s="21">
        <v>0</v>
      </c>
      <c r="V34" s="21">
        <v>0</v>
      </c>
      <c r="W34" s="21"/>
      <c r="X34" s="21">
        <v>0</v>
      </c>
      <c r="Y34" s="21">
        <v>0</v>
      </c>
      <c r="Z34" s="21">
        <v>0</v>
      </c>
      <c r="AA34" s="21">
        <v>0</v>
      </c>
      <c r="AB34" s="43">
        <f t="shared" si="19"/>
        <v>30800</v>
      </c>
      <c r="AC34" s="43">
        <f t="shared" si="1"/>
        <v>30800</v>
      </c>
      <c r="AD34" s="21">
        <v>58</v>
      </c>
      <c r="AE34" s="21">
        <v>40</v>
      </c>
      <c r="AF34" s="21">
        <v>0</v>
      </c>
      <c r="AG34" s="21">
        <v>0</v>
      </c>
      <c r="AH34" s="21">
        <v>0</v>
      </c>
      <c r="AI34" s="21">
        <v>0</v>
      </c>
      <c r="AJ34" s="21">
        <f t="shared" si="2"/>
        <v>98</v>
      </c>
      <c r="AK34" s="22">
        <f t="shared" si="22"/>
        <v>31654</v>
      </c>
      <c r="AL34" s="45">
        <f t="shared" si="4"/>
        <v>31654</v>
      </c>
      <c r="AM34" s="45">
        <f t="shared" si="5"/>
        <v>62454</v>
      </c>
      <c r="AN34" s="32">
        <v>323</v>
      </c>
      <c r="AO34" s="21">
        <v>89</v>
      </c>
      <c r="AP34" s="21">
        <v>9.9</v>
      </c>
      <c r="AQ34" s="21">
        <v>0</v>
      </c>
      <c r="AR34" s="21">
        <v>0</v>
      </c>
      <c r="AS34" s="21">
        <v>0</v>
      </c>
      <c r="AT34" s="21">
        <v>0</v>
      </c>
      <c r="AU34" s="21"/>
      <c r="AV34" s="25">
        <v>0</v>
      </c>
      <c r="AW34" s="21">
        <v>0</v>
      </c>
      <c r="AX34" s="21">
        <f t="shared" si="20"/>
        <v>0</v>
      </c>
      <c r="AY34" s="21">
        <v>0</v>
      </c>
      <c r="AZ34" s="21">
        <v>0</v>
      </c>
      <c r="BA34" s="21">
        <v>0</v>
      </c>
      <c r="BB34" s="21">
        <f t="shared" si="23"/>
        <v>98.9</v>
      </c>
      <c r="BC34" s="23">
        <f t="shared" si="7"/>
        <v>63598.700000000004</v>
      </c>
      <c r="BD34" s="40">
        <f t="shared" si="8"/>
        <v>94398.700000000012</v>
      </c>
      <c r="BE34" s="40">
        <f t="shared" si="9"/>
        <v>94398.700000000012</v>
      </c>
      <c r="BF34" s="32">
        <f t="shared" si="13"/>
        <v>323</v>
      </c>
      <c r="BG34" s="21">
        <v>0</v>
      </c>
      <c r="BH34" s="21">
        <v>0</v>
      </c>
      <c r="BI34" s="21">
        <v>0</v>
      </c>
      <c r="BJ34" s="21">
        <f>BE34*10%</f>
        <v>9439.8700000000008</v>
      </c>
      <c r="BK34" s="21">
        <v>0</v>
      </c>
      <c r="BL34" s="21">
        <f t="shared" si="17"/>
        <v>28747</v>
      </c>
      <c r="BM34" s="21"/>
      <c r="BN34" s="21"/>
      <c r="BO34" s="21"/>
      <c r="BP34" s="21">
        <v>5450</v>
      </c>
      <c r="BQ34" s="21">
        <v>0</v>
      </c>
      <c r="BR34" s="21">
        <v>1680</v>
      </c>
      <c r="BS34" s="21">
        <v>0</v>
      </c>
      <c r="BT34" s="21">
        <v>190</v>
      </c>
      <c r="BU34" s="21">
        <v>0</v>
      </c>
      <c r="BV34" s="21">
        <v>450</v>
      </c>
      <c r="BW34" s="21"/>
      <c r="BX34" s="21">
        <v>4552.4799999999996</v>
      </c>
      <c r="BY34" s="21"/>
      <c r="BZ34" s="21"/>
      <c r="CA34" s="21"/>
      <c r="CB34" s="21">
        <f>1941.32*2+800+865.8</f>
        <v>5548.44</v>
      </c>
      <c r="CC34" s="21"/>
      <c r="CD34" s="21">
        <f>4548+3900</f>
        <v>8448</v>
      </c>
      <c r="CE34" s="21">
        <v>3251.33</v>
      </c>
      <c r="CF34" s="21"/>
      <c r="CG34" s="21"/>
      <c r="CH34" s="21"/>
      <c r="CI34" s="18">
        <f t="shared" si="11"/>
        <v>29570.25</v>
      </c>
      <c r="CJ34" s="18"/>
      <c r="CK34" s="18"/>
      <c r="CL34" s="21"/>
      <c r="CM34" s="21"/>
      <c r="CN34" s="21"/>
      <c r="CO34" s="21"/>
      <c r="CP34" s="21"/>
    </row>
    <row r="35" spans="1:94" s="8" customFormat="1">
      <c r="A35" s="4">
        <v>34</v>
      </c>
      <c r="B35" s="135">
        <v>45528</v>
      </c>
      <c r="C35" s="136" t="s">
        <v>11</v>
      </c>
      <c r="D35" s="136" t="s">
        <v>15</v>
      </c>
      <c r="E35" s="136" t="s">
        <v>151</v>
      </c>
      <c r="F35" s="136" t="s">
        <v>24</v>
      </c>
      <c r="G35" s="136" t="s">
        <v>8</v>
      </c>
      <c r="H35" s="136">
        <v>305</v>
      </c>
      <c r="I35" s="136" t="s">
        <v>9</v>
      </c>
      <c r="K35" s="21">
        <v>20500</v>
      </c>
      <c r="L35" s="21">
        <v>2000</v>
      </c>
      <c r="M35" s="21">
        <v>1500</v>
      </c>
      <c r="N35" s="21">
        <v>7300</v>
      </c>
      <c r="O35" s="21">
        <v>0</v>
      </c>
      <c r="P35" s="21">
        <v>0</v>
      </c>
      <c r="Q35" s="21">
        <v>0</v>
      </c>
      <c r="R35" s="21">
        <v>0</v>
      </c>
      <c r="S35" s="21"/>
      <c r="T35" s="21">
        <v>0</v>
      </c>
      <c r="U35" s="21">
        <v>0</v>
      </c>
      <c r="V35" s="21">
        <v>0</v>
      </c>
      <c r="W35" s="21"/>
      <c r="X35" s="21">
        <v>0</v>
      </c>
      <c r="Y35" s="21">
        <v>0</v>
      </c>
      <c r="Z35" s="21">
        <v>0</v>
      </c>
      <c r="AA35" s="21">
        <v>0</v>
      </c>
      <c r="AB35" s="43">
        <f t="shared" si="19"/>
        <v>31300</v>
      </c>
      <c r="AC35" s="43">
        <f t="shared" si="1"/>
        <v>31300</v>
      </c>
      <c r="AD35" s="21">
        <v>35</v>
      </c>
      <c r="AE35" s="21">
        <v>58</v>
      </c>
      <c r="AF35" s="21">
        <v>0</v>
      </c>
      <c r="AG35" s="21">
        <v>0</v>
      </c>
      <c r="AH35" s="21">
        <v>0</v>
      </c>
      <c r="AI35" s="21">
        <v>0</v>
      </c>
      <c r="AJ35" s="21">
        <f t="shared" si="2"/>
        <v>93</v>
      </c>
      <c r="AK35" s="22">
        <f t="shared" si="22"/>
        <v>55800</v>
      </c>
      <c r="AL35" s="45">
        <f t="shared" si="4"/>
        <v>55800</v>
      </c>
      <c r="AM35" s="45">
        <f t="shared" si="5"/>
        <v>87100</v>
      </c>
      <c r="AN35" s="32">
        <v>600</v>
      </c>
      <c r="AO35" s="21">
        <v>127</v>
      </c>
      <c r="AP35" s="21">
        <v>9.9</v>
      </c>
      <c r="AQ35" s="21">
        <v>0</v>
      </c>
      <c r="AR35" s="21">
        <v>0</v>
      </c>
      <c r="AS35" s="21">
        <v>0</v>
      </c>
      <c r="AT35" s="21">
        <v>0</v>
      </c>
      <c r="AU35" s="21"/>
      <c r="AV35" s="4">
        <v>0</v>
      </c>
      <c r="AW35" s="21">
        <v>0</v>
      </c>
      <c r="AX35" s="21">
        <f t="shared" si="20"/>
        <v>0</v>
      </c>
      <c r="AY35" s="21">
        <v>0</v>
      </c>
      <c r="AZ35" s="21">
        <v>0</v>
      </c>
      <c r="BA35" s="21">
        <v>0</v>
      </c>
      <c r="BB35" s="21">
        <f t="shared" si="23"/>
        <v>136.9</v>
      </c>
      <c r="BC35" s="23">
        <f>(BB35+AJ35)*AN35+AQ35</f>
        <v>137940</v>
      </c>
      <c r="BD35" s="40">
        <f t="shared" si="8"/>
        <v>169240</v>
      </c>
      <c r="BE35" s="40">
        <f t="shared" si="9"/>
        <v>169240</v>
      </c>
      <c r="BF35" s="32">
        <f t="shared" si="13"/>
        <v>600</v>
      </c>
      <c r="BG35" s="21">
        <v>0</v>
      </c>
      <c r="BH35" s="21">
        <v>0</v>
      </c>
      <c r="BI35" s="21">
        <v>0</v>
      </c>
      <c r="BJ35" s="21">
        <f>BE35*10%</f>
        <v>16924</v>
      </c>
      <c r="BK35" s="21">
        <v>0</v>
      </c>
      <c r="BL35" s="21">
        <f t="shared" si="17"/>
        <v>76200</v>
      </c>
      <c r="BM35" s="21"/>
      <c r="BN35" s="21"/>
      <c r="BO35" s="21">
        <v>0</v>
      </c>
      <c r="BP35" s="21">
        <v>5450</v>
      </c>
      <c r="BQ35" s="21">
        <v>0</v>
      </c>
      <c r="BR35" s="21">
        <f>9*160+180</f>
        <v>1620</v>
      </c>
      <c r="BS35" s="21">
        <v>0</v>
      </c>
      <c r="BT35" s="21">
        <v>190</v>
      </c>
      <c r="BU35" s="21">
        <v>0</v>
      </c>
      <c r="BV35" s="21">
        <f>450+250</f>
        <v>700</v>
      </c>
      <c r="BW35" s="21"/>
      <c r="BX35" s="21">
        <f>8716.79+9324.84</f>
        <v>18041.63</v>
      </c>
      <c r="BY35" s="21"/>
      <c r="BZ35" s="21">
        <v>700</v>
      </c>
      <c r="CA35" s="21"/>
      <c r="CB35" s="21">
        <f>455+400+4325/2+1929.24+2176.49+2176.49+1929.24</f>
        <v>11228.96</v>
      </c>
      <c r="CC35" s="21"/>
      <c r="CD35" s="8">
        <v>8804.15</v>
      </c>
      <c r="CE35" s="21">
        <f>6142.5+7163</f>
        <v>13305.5</v>
      </c>
      <c r="CF35" s="21"/>
      <c r="CG35" s="21"/>
      <c r="CH35" s="21"/>
      <c r="CI35" s="18">
        <f t="shared" si="11"/>
        <v>60040.240000000005</v>
      </c>
      <c r="CJ35" s="18"/>
      <c r="CK35" s="18"/>
      <c r="CL35" s="21"/>
      <c r="CM35" s="21"/>
      <c r="CN35" s="21"/>
      <c r="CO35" s="21"/>
      <c r="CP35" s="21"/>
    </row>
    <row r="36" spans="1:94" s="8" customFormat="1">
      <c r="A36" s="4">
        <v>35</v>
      </c>
      <c r="B36" s="135">
        <v>45534</v>
      </c>
      <c r="C36" s="136" t="s">
        <v>10</v>
      </c>
      <c r="D36" s="136" t="s">
        <v>14</v>
      </c>
      <c r="E36" s="148" t="s">
        <v>153</v>
      </c>
      <c r="F36" s="148" t="s">
        <v>13</v>
      </c>
      <c r="G36" s="136" t="s">
        <v>8</v>
      </c>
      <c r="H36" s="136">
        <v>439</v>
      </c>
      <c r="I36" s="136" t="s">
        <v>9</v>
      </c>
      <c r="K36" s="21">
        <v>16000</v>
      </c>
      <c r="L36" s="21">
        <v>0</v>
      </c>
      <c r="M36" s="21">
        <v>0</v>
      </c>
      <c r="N36" s="21">
        <v>6460</v>
      </c>
      <c r="O36" s="21">
        <v>2420</v>
      </c>
      <c r="P36" s="21">
        <v>550</v>
      </c>
      <c r="Q36" s="21">
        <v>0</v>
      </c>
      <c r="R36" s="21">
        <v>0</v>
      </c>
      <c r="S36" s="21"/>
      <c r="T36" s="21">
        <v>0</v>
      </c>
      <c r="U36" s="21">
        <v>0</v>
      </c>
      <c r="V36" s="21">
        <v>0</v>
      </c>
      <c r="W36" s="21"/>
      <c r="X36" s="21">
        <v>0</v>
      </c>
      <c r="Y36" s="21">
        <v>0</v>
      </c>
      <c r="Z36" s="21">
        <v>0</v>
      </c>
      <c r="AA36" s="21">
        <v>0</v>
      </c>
      <c r="AB36" s="43">
        <f t="shared" si="19"/>
        <v>25430</v>
      </c>
      <c r="AC36" s="43">
        <f t="shared" si="1"/>
        <v>25430</v>
      </c>
      <c r="AD36" s="21">
        <v>27</v>
      </c>
      <c r="AE36" s="21">
        <v>0</v>
      </c>
      <c r="AF36" s="21">
        <v>0</v>
      </c>
      <c r="AG36" s="21">
        <v>0</v>
      </c>
      <c r="AH36" s="21">
        <v>0</v>
      </c>
      <c r="AI36" s="21"/>
      <c r="AJ36" s="21">
        <f t="shared" si="2"/>
        <v>27</v>
      </c>
      <c r="AK36" s="22">
        <f t="shared" si="22"/>
        <v>6750</v>
      </c>
      <c r="AL36" s="45">
        <f t="shared" si="4"/>
        <v>6750</v>
      </c>
      <c r="AM36" s="45">
        <f t="shared" si="5"/>
        <v>32180</v>
      </c>
      <c r="AN36" s="32">
        <v>250</v>
      </c>
      <c r="AO36" s="21">
        <v>130</v>
      </c>
      <c r="AP36" s="21">
        <v>12</v>
      </c>
      <c r="AQ36" s="21">
        <v>4080.46</v>
      </c>
      <c r="AR36" s="21">
        <v>0</v>
      </c>
      <c r="AS36" s="21">
        <v>0</v>
      </c>
      <c r="AT36" s="21">
        <v>0</v>
      </c>
      <c r="AU36" s="21"/>
      <c r="AV36" s="4">
        <v>0</v>
      </c>
      <c r="AW36" s="21">
        <v>0</v>
      </c>
      <c r="AX36" s="21">
        <f t="shared" si="20"/>
        <v>0</v>
      </c>
      <c r="AY36" s="21">
        <v>0</v>
      </c>
      <c r="AZ36" s="21">
        <v>0</v>
      </c>
      <c r="BA36" s="21">
        <f>10643.56-530.76</f>
        <v>10112.799999999999</v>
      </c>
      <c r="BB36" s="21">
        <f t="shared" si="23"/>
        <v>142</v>
      </c>
      <c r="BC36" s="23">
        <f t="shared" si="7"/>
        <v>46330.46</v>
      </c>
      <c r="BD36" s="40">
        <f t="shared" si="8"/>
        <v>71760.459999999992</v>
      </c>
      <c r="BE36" s="40">
        <f t="shared" si="9"/>
        <v>81873.259999999995</v>
      </c>
      <c r="BF36" s="32">
        <f t="shared" si="13"/>
        <v>250</v>
      </c>
      <c r="BG36" s="21">
        <v>0</v>
      </c>
      <c r="BH36" s="21">
        <v>0</v>
      </c>
      <c r="BI36" s="21">
        <v>0</v>
      </c>
      <c r="BJ36" s="21"/>
      <c r="BK36" s="21">
        <v>0</v>
      </c>
      <c r="BL36" s="21">
        <f t="shared" si="17"/>
        <v>32500</v>
      </c>
      <c r="BM36" s="21"/>
      <c r="BN36" s="21"/>
      <c r="BO36" s="21"/>
      <c r="BP36" s="21">
        <v>3950</v>
      </c>
      <c r="BQ36" s="21">
        <v>0</v>
      </c>
      <c r="BR36" s="21">
        <f>8*160+180</f>
        <v>1460</v>
      </c>
      <c r="BS36" s="21">
        <v>0</v>
      </c>
      <c r="BT36" s="21">
        <f>2*210+190</f>
        <v>610</v>
      </c>
      <c r="BU36" s="21">
        <v>0</v>
      </c>
      <c r="BV36" s="21">
        <f>450+250</f>
        <v>700</v>
      </c>
      <c r="BW36" s="21"/>
      <c r="BX36" s="21">
        <v>476.66</v>
      </c>
      <c r="BY36" s="21"/>
      <c r="BZ36" s="21">
        <v>340</v>
      </c>
      <c r="CA36" s="21">
        <v>600</v>
      </c>
      <c r="CB36" s="21"/>
      <c r="CC36" s="21"/>
      <c r="CD36" s="21">
        <v>493.61</v>
      </c>
      <c r="CE36" s="21">
        <v>2428.5</v>
      </c>
      <c r="CF36" s="21"/>
      <c r="CG36" s="21"/>
      <c r="CH36" s="21"/>
      <c r="CI36" s="18">
        <f t="shared" si="11"/>
        <v>11058.77</v>
      </c>
      <c r="CJ36" s="18"/>
      <c r="CK36" s="18"/>
      <c r="CL36" s="21"/>
      <c r="CM36" s="21"/>
      <c r="CN36" s="21"/>
      <c r="CO36" s="21"/>
      <c r="CP36" s="21"/>
    </row>
    <row r="37" spans="1:94" s="8" customFormat="1">
      <c r="A37" s="4">
        <v>36</v>
      </c>
      <c r="B37" s="135">
        <v>45535</v>
      </c>
      <c r="C37" s="136" t="s">
        <v>63</v>
      </c>
      <c r="D37" s="136" t="s">
        <v>64</v>
      </c>
      <c r="E37" s="136" t="s">
        <v>151</v>
      </c>
      <c r="F37" s="136" t="s">
        <v>24</v>
      </c>
      <c r="G37" s="136" t="s">
        <v>8</v>
      </c>
      <c r="H37" s="136">
        <v>304</v>
      </c>
      <c r="I37" s="136" t="s">
        <v>9</v>
      </c>
      <c r="K37" s="21">
        <v>25000</v>
      </c>
      <c r="L37" s="21">
        <v>2500</v>
      </c>
      <c r="M37" s="21">
        <v>1500</v>
      </c>
      <c r="N37" s="21">
        <v>7300</v>
      </c>
      <c r="O37" s="21">
        <v>0</v>
      </c>
      <c r="P37" s="21">
        <v>0</v>
      </c>
      <c r="Q37" s="21">
        <v>0</v>
      </c>
      <c r="R37" s="21">
        <v>0</v>
      </c>
      <c r="S37" s="21"/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43">
        <f t="shared" si="19"/>
        <v>36300</v>
      </c>
      <c r="AC37" s="43">
        <f t="shared" si="1"/>
        <v>36300</v>
      </c>
      <c r="AD37" s="21">
        <v>30</v>
      </c>
      <c r="AE37" s="21">
        <v>63</v>
      </c>
      <c r="AF37" s="21"/>
      <c r="AG37" s="21"/>
      <c r="AH37" s="21"/>
      <c r="AI37" s="21"/>
      <c r="AJ37" s="21">
        <f t="shared" si="2"/>
        <v>93</v>
      </c>
      <c r="AK37" s="22">
        <f t="shared" si="22"/>
        <v>69750</v>
      </c>
      <c r="AL37" s="45">
        <f t="shared" si="4"/>
        <v>69750</v>
      </c>
      <c r="AM37" s="45">
        <f t="shared" si="5"/>
        <v>106050</v>
      </c>
      <c r="AN37" s="32">
        <v>750</v>
      </c>
      <c r="AO37" s="21">
        <v>127</v>
      </c>
      <c r="AP37" s="21">
        <v>9.9</v>
      </c>
      <c r="AQ37" s="21">
        <v>0</v>
      </c>
      <c r="AR37" s="21">
        <v>0</v>
      </c>
      <c r="AS37" s="21">
        <v>0</v>
      </c>
      <c r="AT37" s="21">
        <v>0</v>
      </c>
      <c r="AU37" s="21"/>
      <c r="AV37" s="4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f t="shared" si="23"/>
        <v>136.9</v>
      </c>
      <c r="BC37" s="23">
        <f t="shared" si="7"/>
        <v>172425</v>
      </c>
      <c r="BD37" s="40">
        <f t="shared" si="8"/>
        <v>208725</v>
      </c>
      <c r="BE37" s="40">
        <f t="shared" si="9"/>
        <v>208725</v>
      </c>
      <c r="BF37" s="32">
        <f t="shared" si="13"/>
        <v>750</v>
      </c>
      <c r="BG37" s="21">
        <v>0</v>
      </c>
      <c r="BH37" s="21">
        <v>0</v>
      </c>
      <c r="BI37" s="21">
        <v>0</v>
      </c>
      <c r="BJ37" s="21">
        <f t="shared" ref="BJ37" si="25">BE37*10%</f>
        <v>20872.5</v>
      </c>
      <c r="BK37" s="21"/>
      <c r="BL37" s="21">
        <f t="shared" si="17"/>
        <v>95250</v>
      </c>
      <c r="BM37" s="21"/>
      <c r="BN37" s="21"/>
      <c r="BO37" s="21"/>
      <c r="BP37" s="21">
        <v>5450</v>
      </c>
      <c r="BQ37" s="21">
        <v>0</v>
      </c>
      <c r="BR37" s="21">
        <f>8*160+180</f>
        <v>1460</v>
      </c>
      <c r="BS37" s="21"/>
      <c r="BT37" s="21">
        <v>190</v>
      </c>
      <c r="BU37" s="21">
        <v>1100</v>
      </c>
      <c r="BV37" s="21">
        <f>450+250</f>
        <v>700</v>
      </c>
      <c r="BW37" s="21"/>
      <c r="BX37" s="21">
        <f>11725.98+7632.4</f>
        <v>19358.379999999997</v>
      </c>
      <c r="BY37" s="21"/>
      <c r="BZ37" s="21">
        <v>70</v>
      </c>
      <c r="CA37" s="21"/>
      <c r="CB37" s="21">
        <f>1375+149.88+2440.53*3</f>
        <v>8846.4700000000012</v>
      </c>
      <c r="CC37" s="21"/>
      <c r="CD37" s="21">
        <f>7312.5+8527.5</f>
        <v>15840</v>
      </c>
      <c r="CE37" s="21">
        <v>16181.91</v>
      </c>
      <c r="CF37" s="21"/>
      <c r="CG37" s="21"/>
      <c r="CH37" s="21"/>
      <c r="CI37" s="18">
        <f t="shared" si="11"/>
        <v>69196.760000000009</v>
      </c>
      <c r="CJ37" s="18"/>
      <c r="CK37" s="18"/>
      <c r="CL37" s="21"/>
      <c r="CM37" s="21">
        <v>348</v>
      </c>
      <c r="CN37" s="21"/>
      <c r="CO37" s="21"/>
      <c r="CP37" s="21"/>
    </row>
    <row r="38" spans="1:94" s="8" customFormat="1">
      <c r="A38" s="4">
        <v>37</v>
      </c>
      <c r="B38" s="36" t="s">
        <v>66</v>
      </c>
      <c r="C38" s="35" t="s">
        <v>73</v>
      </c>
      <c r="D38" s="35" t="s">
        <v>61</v>
      </c>
      <c r="E38" s="35"/>
      <c r="F38" s="35" t="s">
        <v>13</v>
      </c>
      <c r="G38" s="35" t="s">
        <v>8</v>
      </c>
      <c r="H38" s="35">
        <v>459</v>
      </c>
      <c r="I38" s="35" t="s">
        <v>9</v>
      </c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43">
        <f t="shared" si="19"/>
        <v>0</v>
      </c>
      <c r="AC38" s="43">
        <f t="shared" si="1"/>
        <v>0</v>
      </c>
      <c r="AD38" s="4"/>
      <c r="AE38" s="4"/>
      <c r="AF38" s="4"/>
      <c r="AG38" s="4"/>
      <c r="AH38" s="4"/>
      <c r="AI38" s="4"/>
      <c r="AJ38" s="21">
        <f t="shared" si="2"/>
        <v>0</v>
      </c>
      <c r="AK38" s="22">
        <f t="shared" si="22"/>
        <v>0</v>
      </c>
      <c r="AL38" s="45">
        <f t="shared" si="4"/>
        <v>0</v>
      </c>
      <c r="AM38" s="45">
        <f t="shared" si="5"/>
        <v>0</v>
      </c>
      <c r="AN38" s="32"/>
      <c r="AO38" s="21"/>
      <c r="AP38" s="21"/>
      <c r="AQ38" s="21"/>
      <c r="AR38" s="21"/>
      <c r="AS38" s="21"/>
      <c r="AT38" s="21"/>
      <c r="AU38" s="21"/>
      <c r="AV38" s="4"/>
      <c r="AW38" s="21"/>
      <c r="AX38" s="21">
        <f t="shared" si="20"/>
        <v>0</v>
      </c>
      <c r="AY38" s="21"/>
      <c r="AZ38" s="21"/>
      <c r="BA38" s="21"/>
      <c r="BB38" s="21">
        <f t="shared" si="23"/>
        <v>0</v>
      </c>
      <c r="BC38" s="23">
        <f t="shared" si="7"/>
        <v>0</v>
      </c>
      <c r="BD38" s="40">
        <f t="shared" si="8"/>
        <v>0</v>
      </c>
      <c r="BE38" s="40">
        <f t="shared" si="9"/>
        <v>0</v>
      </c>
      <c r="BF38" s="32">
        <f t="shared" si="13"/>
        <v>0</v>
      </c>
      <c r="BG38" s="21">
        <v>0</v>
      </c>
      <c r="BH38" s="21">
        <v>0</v>
      </c>
      <c r="BI38" s="21">
        <v>0</v>
      </c>
      <c r="BJ38" s="21">
        <v>0</v>
      </c>
      <c r="BK38" s="21"/>
      <c r="BL38" s="21">
        <f t="shared" si="17"/>
        <v>0</v>
      </c>
      <c r="BM38" s="21"/>
      <c r="BN38" s="21"/>
      <c r="BO38" s="21"/>
      <c r="BP38" s="21">
        <v>0</v>
      </c>
      <c r="BQ38" s="21">
        <v>0</v>
      </c>
      <c r="BR38" s="21"/>
      <c r="BS38" s="21"/>
      <c r="BT38" s="21">
        <v>0</v>
      </c>
      <c r="BU38" s="21">
        <v>0</v>
      </c>
      <c r="BV38" s="21">
        <v>125</v>
      </c>
      <c r="BW38" s="21"/>
      <c r="BX38" s="21"/>
      <c r="BY38" s="21"/>
      <c r="BZ38" s="21"/>
      <c r="CA38" s="21"/>
      <c r="CB38" s="21"/>
      <c r="CC38" s="21"/>
      <c r="CD38" s="21">
        <f>714.45</f>
        <v>714.45</v>
      </c>
      <c r="CE38" s="21">
        <v>1458.83</v>
      </c>
      <c r="CF38" s="21"/>
      <c r="CG38" s="21"/>
      <c r="CH38" s="21"/>
      <c r="CI38" s="18">
        <f t="shared" si="11"/>
        <v>2298.2799999999997</v>
      </c>
      <c r="CJ38" s="18"/>
      <c r="CK38" s="18"/>
      <c r="CL38" s="21"/>
      <c r="CM38" s="21"/>
      <c r="CN38" s="21"/>
      <c r="CO38" s="21"/>
      <c r="CP38" s="21"/>
    </row>
    <row r="39" spans="1:94" s="8" customFormat="1">
      <c r="A39" s="4">
        <v>38</v>
      </c>
      <c r="B39" s="146">
        <v>45542</v>
      </c>
      <c r="C39" s="147" t="s">
        <v>116</v>
      </c>
      <c r="D39" s="147" t="s">
        <v>115</v>
      </c>
      <c r="E39" s="147" t="s">
        <v>157</v>
      </c>
      <c r="F39" s="147" t="s">
        <v>23</v>
      </c>
      <c r="G39" s="147" t="s">
        <v>8</v>
      </c>
      <c r="H39" s="147">
        <v>413</v>
      </c>
      <c r="I39" s="147" t="s">
        <v>9</v>
      </c>
      <c r="K39" s="28">
        <v>17650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/>
      <c r="T39" s="28">
        <v>0</v>
      </c>
      <c r="U39" s="28">
        <f>1250+4000</f>
        <v>5250</v>
      </c>
      <c r="V39" s="28">
        <v>0</v>
      </c>
      <c r="W39" s="28"/>
      <c r="X39" s="28">
        <v>0</v>
      </c>
      <c r="Y39" s="28">
        <v>0</v>
      </c>
      <c r="Z39" s="28">
        <v>0</v>
      </c>
      <c r="AA39" s="28">
        <v>0</v>
      </c>
      <c r="AB39" s="43">
        <f t="shared" si="19"/>
        <v>17650</v>
      </c>
      <c r="AC39" s="44">
        <f t="shared" ref="AC39:AC51" si="26">AB39+AA39+Z39+Y39+X39+V39+U39</f>
        <v>22900</v>
      </c>
      <c r="AD39" s="28">
        <v>39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f>AD39+AE39</f>
        <v>39</v>
      </c>
      <c r="AK39" s="47">
        <f>AJ39*AN39</f>
        <v>5850</v>
      </c>
      <c r="AL39" s="46">
        <f>AK39+AI39+AH39+AG39+AF39</f>
        <v>5850</v>
      </c>
      <c r="AM39" s="46">
        <f t="shared" ref="AM39:AM82" si="27">AL39+AC39</f>
        <v>28750</v>
      </c>
      <c r="AN39" s="37">
        <v>150</v>
      </c>
      <c r="AO39" s="28">
        <v>135</v>
      </c>
      <c r="AP39" s="28">
        <v>0</v>
      </c>
      <c r="AQ39" s="28">
        <v>8316</v>
      </c>
      <c r="AR39" s="28">
        <v>0</v>
      </c>
      <c r="AS39" s="28">
        <v>0</v>
      </c>
      <c r="AT39" s="28">
        <v>0</v>
      </c>
      <c r="AU39" s="28"/>
      <c r="AV39" s="29">
        <v>65</v>
      </c>
      <c r="AW39" s="28">
        <v>120.55384599999999</v>
      </c>
      <c r="AX39" s="28">
        <f t="shared" si="20"/>
        <v>7835.9999899999993</v>
      </c>
      <c r="AY39" s="28">
        <v>0</v>
      </c>
      <c r="AZ39" s="28">
        <v>0</v>
      </c>
      <c r="BA39" s="28">
        <v>0</v>
      </c>
      <c r="BB39" s="28">
        <f t="shared" si="23"/>
        <v>135</v>
      </c>
      <c r="BC39" s="38">
        <f>(BB39+AJ39)*AN39+AQ39</f>
        <v>34416</v>
      </c>
      <c r="BD39" s="41">
        <f t="shared" si="8"/>
        <v>52066</v>
      </c>
      <c r="BE39" s="41">
        <f t="shared" ref="BE39:BE46" si="28">(BC39+BA39+AY39+AT39)+(AI39+AH39+AC39)+AX39+AZ39+AS39+AR39+AG39+AF39</f>
        <v>65151.999989999997</v>
      </c>
      <c r="BF39" s="32">
        <f t="shared" si="13"/>
        <v>215</v>
      </c>
      <c r="BG39" s="21">
        <v>0</v>
      </c>
      <c r="BH39" s="21">
        <v>0</v>
      </c>
      <c r="BI39" s="21">
        <v>0</v>
      </c>
      <c r="BJ39" s="28">
        <v>0</v>
      </c>
      <c r="BK39" s="28">
        <v>6251.6</v>
      </c>
      <c r="BL39" s="21">
        <f t="shared" si="17"/>
        <v>20250</v>
      </c>
      <c r="BM39" s="28"/>
      <c r="BN39" s="28"/>
      <c r="BO39" s="28">
        <v>0</v>
      </c>
      <c r="BP39" s="28">
        <v>5450</v>
      </c>
      <c r="BQ39" s="28">
        <v>0</v>
      </c>
      <c r="BR39" s="28">
        <f>6*160+180</f>
        <v>1140</v>
      </c>
      <c r="BS39" s="28">
        <v>0</v>
      </c>
      <c r="BT39" s="28">
        <v>0</v>
      </c>
      <c r="BU39" s="28">
        <v>0</v>
      </c>
      <c r="BV39" s="28">
        <v>450</v>
      </c>
      <c r="BW39" s="28"/>
      <c r="BX39" s="28"/>
      <c r="BY39" s="28"/>
      <c r="BZ39" s="28"/>
      <c r="CA39" s="28"/>
      <c r="CB39" s="28"/>
      <c r="CC39" s="28"/>
      <c r="CD39" s="28">
        <v>1295.5</v>
      </c>
      <c r="CE39" s="28"/>
      <c r="CF39" s="28"/>
      <c r="CG39" s="28">
        <v>500</v>
      </c>
      <c r="CH39" s="28">
        <v>0</v>
      </c>
      <c r="CI39" s="18">
        <f t="shared" si="11"/>
        <v>8835.5</v>
      </c>
      <c r="CJ39" s="34"/>
      <c r="CK39" s="34"/>
      <c r="CL39" s="28"/>
      <c r="CM39" s="28">
        <v>0</v>
      </c>
      <c r="CN39" s="28"/>
      <c r="CO39" s="28"/>
      <c r="CP39" s="28"/>
    </row>
    <row r="40" spans="1:94" s="4" customFormat="1">
      <c r="A40" s="4">
        <v>39</v>
      </c>
      <c r="B40" s="135">
        <v>45544</v>
      </c>
      <c r="C40" s="136" t="s">
        <v>44</v>
      </c>
      <c r="D40" s="136" t="s">
        <v>36</v>
      </c>
      <c r="E40" s="136" t="s">
        <v>151</v>
      </c>
      <c r="F40" s="136" t="s">
        <v>131</v>
      </c>
      <c r="G40" s="136" t="s">
        <v>8</v>
      </c>
      <c r="H40" s="136">
        <v>492</v>
      </c>
      <c r="I40" s="136" t="s">
        <v>9</v>
      </c>
      <c r="J40" s="134"/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/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43">
        <f t="shared" si="19"/>
        <v>0</v>
      </c>
      <c r="AC40" s="44">
        <f t="shared" si="26"/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8">
        <f t="shared" ref="AJ40:AJ44" si="29">AD40+AE40</f>
        <v>0</v>
      </c>
      <c r="AK40" s="47">
        <f t="shared" ref="AK40:AK44" si="30">AJ40*AN40</f>
        <v>0</v>
      </c>
      <c r="AL40" s="46">
        <f t="shared" ref="AL40:AL46" si="31">AK40+AI40+AH40+AG40+AF40</f>
        <v>0</v>
      </c>
      <c r="AM40" s="46">
        <f t="shared" si="27"/>
        <v>0</v>
      </c>
      <c r="AN40" s="32">
        <v>450</v>
      </c>
      <c r="AO40" s="21">
        <v>87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4">
        <v>0</v>
      </c>
      <c r="AW40" s="21">
        <v>0</v>
      </c>
      <c r="AX40" s="28">
        <f t="shared" si="20"/>
        <v>0</v>
      </c>
      <c r="AY40" s="21">
        <v>0</v>
      </c>
      <c r="AZ40" s="21">
        <v>0</v>
      </c>
      <c r="BA40" s="21">
        <v>0</v>
      </c>
      <c r="BB40" s="28">
        <f t="shared" si="23"/>
        <v>87</v>
      </c>
      <c r="BC40" s="38">
        <f t="shared" ref="BC40:BC51" si="32">(BB40+AJ40)*AN40+AQ40</f>
        <v>39150</v>
      </c>
      <c r="BD40" s="41">
        <f t="shared" si="8"/>
        <v>39150</v>
      </c>
      <c r="BE40" s="41">
        <f t="shared" si="28"/>
        <v>39150</v>
      </c>
      <c r="BF40" s="32">
        <f t="shared" si="13"/>
        <v>450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f t="shared" si="17"/>
        <v>39150</v>
      </c>
      <c r="BM40" s="21"/>
      <c r="BN40" s="21"/>
      <c r="BO40" s="21">
        <v>159</v>
      </c>
      <c r="BP40" s="21">
        <v>1500</v>
      </c>
      <c r="BQ40" s="28">
        <v>0</v>
      </c>
      <c r="BR40" s="21">
        <f>180+160</f>
        <v>340</v>
      </c>
      <c r="BS40" s="21">
        <v>0</v>
      </c>
      <c r="BT40" s="21">
        <v>0</v>
      </c>
      <c r="BU40" s="21">
        <v>0</v>
      </c>
      <c r="BV40" s="21">
        <v>210</v>
      </c>
      <c r="BW40" s="21"/>
      <c r="BX40" s="21"/>
      <c r="BY40" s="21"/>
      <c r="BZ40" s="21"/>
      <c r="CA40" s="21"/>
      <c r="CB40" s="21"/>
      <c r="CC40" s="21"/>
      <c r="CD40" s="21">
        <v>2321.89</v>
      </c>
      <c r="CE40" s="21"/>
      <c r="CF40" s="21"/>
      <c r="CG40" s="21"/>
      <c r="CH40" s="21"/>
      <c r="CI40" s="18">
        <f t="shared" si="11"/>
        <v>4530.8899999999994</v>
      </c>
      <c r="CJ40" s="18"/>
      <c r="CK40" s="18"/>
    </row>
    <row r="41" spans="1:94" s="4" customFormat="1">
      <c r="A41" s="4">
        <v>40</v>
      </c>
      <c r="B41" s="135">
        <v>45549</v>
      </c>
      <c r="C41" s="136" t="s">
        <v>133</v>
      </c>
      <c r="D41" s="136" t="s">
        <v>28</v>
      </c>
      <c r="E41" s="136" t="s">
        <v>151</v>
      </c>
      <c r="F41" s="136" t="s">
        <v>132</v>
      </c>
      <c r="G41" s="136" t="s">
        <v>8</v>
      </c>
      <c r="H41" s="136">
        <v>317</v>
      </c>
      <c r="I41" s="136" t="s">
        <v>9</v>
      </c>
      <c r="K41" s="21">
        <v>12000</v>
      </c>
      <c r="L41" s="21">
        <v>1200</v>
      </c>
      <c r="M41" s="21">
        <v>2000</v>
      </c>
      <c r="N41" s="21">
        <f>4300+2700</f>
        <v>7000</v>
      </c>
      <c r="O41" s="21">
        <v>0</v>
      </c>
      <c r="P41" s="21">
        <v>0</v>
      </c>
      <c r="Q41" s="21">
        <v>0</v>
      </c>
      <c r="R41" s="21">
        <v>0</v>
      </c>
      <c r="S41" s="21"/>
      <c r="T41" s="21">
        <v>0</v>
      </c>
      <c r="U41" s="21">
        <v>0</v>
      </c>
      <c r="V41" s="21">
        <v>925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43">
        <f t="shared" si="19"/>
        <v>22200</v>
      </c>
      <c r="AC41" s="44">
        <f t="shared" si="26"/>
        <v>23125</v>
      </c>
      <c r="AD41" s="21">
        <v>35</v>
      </c>
      <c r="AE41" s="21">
        <v>45</v>
      </c>
      <c r="AF41" s="21">
        <v>0</v>
      </c>
      <c r="AG41" s="21">
        <v>0</v>
      </c>
      <c r="AH41" s="21">
        <v>0</v>
      </c>
      <c r="AI41" s="21">
        <v>0</v>
      </c>
      <c r="AJ41" s="28">
        <f t="shared" si="29"/>
        <v>80</v>
      </c>
      <c r="AK41" s="47">
        <f>AJ41*AN41</f>
        <v>36320</v>
      </c>
      <c r="AL41" s="46">
        <f t="shared" si="31"/>
        <v>36320</v>
      </c>
      <c r="AM41" s="46">
        <f t="shared" si="27"/>
        <v>59445</v>
      </c>
      <c r="AN41" s="32">
        <v>454</v>
      </c>
      <c r="AO41" s="21">
        <v>73</v>
      </c>
      <c r="AP41" s="21">
        <v>7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4">
        <v>28</v>
      </c>
      <c r="AW41" s="21">
        <v>250</v>
      </c>
      <c r="AX41" s="28">
        <f t="shared" si="20"/>
        <v>7000</v>
      </c>
      <c r="AY41" s="21">
        <v>0</v>
      </c>
      <c r="AZ41" s="21">
        <v>0</v>
      </c>
      <c r="BA41" s="21">
        <v>0</v>
      </c>
      <c r="BB41" s="28">
        <f t="shared" si="23"/>
        <v>80</v>
      </c>
      <c r="BC41" s="38">
        <f t="shared" si="32"/>
        <v>72640</v>
      </c>
      <c r="BD41" s="41">
        <f t="shared" si="8"/>
        <v>94840</v>
      </c>
      <c r="BE41" s="41">
        <f t="shared" si="28"/>
        <v>102765</v>
      </c>
      <c r="BF41" s="32">
        <f t="shared" si="13"/>
        <v>482</v>
      </c>
      <c r="BG41" s="21">
        <v>0</v>
      </c>
      <c r="BH41" s="21">
        <v>0</v>
      </c>
      <c r="BI41" s="21">
        <f>BE41*10%</f>
        <v>10276.5</v>
      </c>
      <c r="BJ41" s="21">
        <v>0</v>
      </c>
      <c r="BK41" s="21">
        <v>0</v>
      </c>
      <c r="BL41" s="21">
        <f t="shared" si="17"/>
        <v>33142</v>
      </c>
      <c r="BM41" s="21"/>
      <c r="BN41" s="21"/>
      <c r="BO41" s="21">
        <v>0</v>
      </c>
      <c r="BP41" s="21">
        <f>5450+925</f>
        <v>6375</v>
      </c>
      <c r="BQ41" s="28">
        <v>0</v>
      </c>
      <c r="BR41" s="21">
        <f>6*160+180</f>
        <v>1140</v>
      </c>
      <c r="BS41" s="21">
        <v>0</v>
      </c>
      <c r="BT41" s="21">
        <v>0</v>
      </c>
      <c r="BU41" s="21">
        <v>0</v>
      </c>
      <c r="BV41" s="21">
        <v>450</v>
      </c>
      <c r="BW41" s="21"/>
      <c r="BX41" s="21"/>
      <c r="BY41" s="21"/>
      <c r="BZ41" s="21"/>
      <c r="CA41" s="21"/>
      <c r="CB41" s="21"/>
      <c r="CC41" s="21"/>
      <c r="CD41" s="21"/>
      <c r="CE41" s="21">
        <v>2616.0500000000002</v>
      </c>
      <c r="CF41" s="21"/>
      <c r="CG41" s="21"/>
      <c r="CH41" s="21"/>
      <c r="CI41" s="18">
        <f t="shared" si="11"/>
        <v>10581.05</v>
      </c>
      <c r="CJ41" s="18"/>
      <c r="CK41" s="18"/>
    </row>
    <row r="42" spans="1:94" s="4" customFormat="1">
      <c r="A42" s="4">
        <v>41</v>
      </c>
      <c r="B42" s="135">
        <v>45522</v>
      </c>
      <c r="C42" s="136" t="s">
        <v>134</v>
      </c>
      <c r="D42" s="136"/>
      <c r="E42" s="136" t="s">
        <v>151</v>
      </c>
      <c r="F42" s="136" t="s">
        <v>43</v>
      </c>
      <c r="G42" s="136" t="s">
        <v>32</v>
      </c>
      <c r="H42" s="136">
        <v>488</v>
      </c>
      <c r="I42" s="136" t="s">
        <v>9</v>
      </c>
      <c r="K42" s="21">
        <v>0</v>
      </c>
      <c r="L42" s="21">
        <v>0</v>
      </c>
      <c r="M42" s="21">
        <v>0</v>
      </c>
      <c r="N42" s="21">
        <v>2000</v>
      </c>
      <c r="O42" s="21">
        <f>360+500</f>
        <v>860</v>
      </c>
      <c r="P42" s="21">
        <v>500</v>
      </c>
      <c r="Q42" s="21">
        <v>0</v>
      </c>
      <c r="R42" s="21">
        <v>0</v>
      </c>
      <c r="S42" s="21"/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3500</v>
      </c>
      <c r="AB42" s="43">
        <f t="shared" si="19"/>
        <v>3360</v>
      </c>
      <c r="AC42" s="44">
        <f t="shared" si="26"/>
        <v>6860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8">
        <f t="shared" si="29"/>
        <v>0</v>
      </c>
      <c r="AK42" s="47">
        <f t="shared" si="30"/>
        <v>0</v>
      </c>
      <c r="AL42" s="46">
        <f t="shared" si="31"/>
        <v>0</v>
      </c>
      <c r="AM42" s="46">
        <f t="shared" si="27"/>
        <v>6860</v>
      </c>
      <c r="AN42" s="32"/>
      <c r="AO42" s="21">
        <v>0</v>
      </c>
      <c r="AP42" s="21">
        <v>0</v>
      </c>
      <c r="AQ42" s="21">
        <v>250</v>
      </c>
      <c r="AR42" s="21">
        <v>0</v>
      </c>
      <c r="AS42" s="21">
        <v>0</v>
      </c>
      <c r="AT42" s="21">
        <v>0</v>
      </c>
      <c r="AU42" s="21">
        <v>0</v>
      </c>
      <c r="AV42" s="4">
        <v>0</v>
      </c>
      <c r="AW42" s="21">
        <v>0</v>
      </c>
      <c r="AX42" s="28">
        <f t="shared" si="20"/>
        <v>0</v>
      </c>
      <c r="AY42" s="21">
        <v>0</v>
      </c>
      <c r="AZ42" s="21">
        <v>0</v>
      </c>
      <c r="BA42" s="21">
        <v>0</v>
      </c>
      <c r="BB42" s="28">
        <f t="shared" si="23"/>
        <v>0</v>
      </c>
      <c r="BC42" s="38">
        <f t="shared" si="32"/>
        <v>250</v>
      </c>
      <c r="BD42" s="41">
        <f t="shared" si="8"/>
        <v>3610</v>
      </c>
      <c r="BE42" s="41">
        <f t="shared" si="28"/>
        <v>7110</v>
      </c>
      <c r="BF42" s="32">
        <f t="shared" si="13"/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f t="shared" si="17"/>
        <v>0</v>
      </c>
      <c r="BM42" s="21"/>
      <c r="BN42" s="21"/>
      <c r="BO42" s="21">
        <v>0</v>
      </c>
      <c r="BP42" s="21">
        <v>3950</v>
      </c>
      <c r="BQ42" s="28">
        <v>0</v>
      </c>
      <c r="BR42" s="21">
        <f>180+160</f>
        <v>340</v>
      </c>
      <c r="BS42" s="21">
        <v>0</v>
      </c>
      <c r="BT42" s="21">
        <v>0</v>
      </c>
      <c r="BU42" s="21">
        <v>0</v>
      </c>
      <c r="BV42" s="21">
        <v>450</v>
      </c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18">
        <f t="shared" si="11"/>
        <v>4740</v>
      </c>
      <c r="CJ42" s="18"/>
      <c r="CK42" s="18"/>
    </row>
    <row r="43" spans="1:94" s="4" customFormat="1">
      <c r="A43" s="4">
        <v>42</v>
      </c>
      <c r="B43" s="137">
        <v>45558</v>
      </c>
      <c r="C43" s="138" t="s">
        <v>136</v>
      </c>
      <c r="D43" s="138"/>
      <c r="E43" s="138" t="s">
        <v>152</v>
      </c>
      <c r="F43" s="138" t="s">
        <v>82</v>
      </c>
      <c r="G43" s="138" t="s">
        <v>8</v>
      </c>
      <c r="H43" s="138">
        <v>501</v>
      </c>
      <c r="I43" s="138" t="s">
        <v>9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/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43">
        <f t="shared" si="19"/>
        <v>0</v>
      </c>
      <c r="AC43" s="44">
        <f t="shared" si="26"/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8">
        <f t="shared" si="29"/>
        <v>0</v>
      </c>
      <c r="AK43" s="47">
        <f t="shared" si="30"/>
        <v>0</v>
      </c>
      <c r="AL43" s="46">
        <f t="shared" si="31"/>
        <v>0</v>
      </c>
      <c r="AM43" s="46">
        <f t="shared" si="27"/>
        <v>0</v>
      </c>
      <c r="AN43" s="32">
        <v>150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4">
        <v>0</v>
      </c>
      <c r="AW43" s="21">
        <v>0</v>
      </c>
      <c r="AX43" s="28">
        <f t="shared" si="20"/>
        <v>0</v>
      </c>
      <c r="AY43" s="21">
        <v>0</v>
      </c>
      <c r="AZ43" s="21">
        <v>0</v>
      </c>
      <c r="BA43" s="21">
        <v>0</v>
      </c>
      <c r="BB43" s="21">
        <f t="shared" si="23"/>
        <v>0</v>
      </c>
      <c r="BC43" s="38">
        <f t="shared" si="32"/>
        <v>0</v>
      </c>
      <c r="BD43" s="41">
        <f t="shared" si="8"/>
        <v>0</v>
      </c>
      <c r="BE43" s="41">
        <f t="shared" si="28"/>
        <v>0</v>
      </c>
      <c r="BF43" s="32">
        <f t="shared" si="13"/>
        <v>150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f t="shared" si="17"/>
        <v>0</v>
      </c>
      <c r="BM43" s="21"/>
      <c r="BN43" s="21"/>
      <c r="BO43" s="21">
        <v>0</v>
      </c>
      <c r="BP43" s="21"/>
      <c r="BQ43" s="28">
        <v>0</v>
      </c>
      <c r="BR43" s="21">
        <v>360</v>
      </c>
      <c r="BS43" s="21">
        <v>0</v>
      </c>
      <c r="BT43" s="21">
        <v>0</v>
      </c>
      <c r="BU43" s="21">
        <v>440</v>
      </c>
      <c r="BV43" s="21">
        <v>210</v>
      </c>
      <c r="BW43" s="21"/>
      <c r="BX43" s="21"/>
      <c r="BY43" s="21"/>
      <c r="BZ43" s="21"/>
      <c r="CA43" s="21"/>
      <c r="CB43" s="21"/>
      <c r="CC43" s="21"/>
      <c r="CD43" s="21">
        <v>320.05</v>
      </c>
      <c r="CE43" s="21"/>
      <c r="CF43" s="21"/>
      <c r="CG43" s="21"/>
      <c r="CH43" s="21"/>
      <c r="CI43" s="18">
        <f t="shared" si="11"/>
        <v>1330.05</v>
      </c>
      <c r="CJ43" s="18"/>
      <c r="CK43" s="18"/>
      <c r="CN43" s="4">
        <f>3*210</f>
        <v>630</v>
      </c>
    </row>
    <row r="44" spans="1:94" s="4" customFormat="1">
      <c r="A44" s="4">
        <v>43</v>
      </c>
      <c r="B44" s="135">
        <v>45548</v>
      </c>
      <c r="C44" s="136" t="s">
        <v>137</v>
      </c>
      <c r="D44" s="136" t="s">
        <v>28</v>
      </c>
      <c r="E44" s="136"/>
      <c r="F44" s="136" t="s">
        <v>24</v>
      </c>
      <c r="G44" s="136" t="s">
        <v>8</v>
      </c>
      <c r="H44" s="136">
        <v>424</v>
      </c>
      <c r="I44" s="136" t="s">
        <v>9</v>
      </c>
      <c r="K44" s="21">
        <v>17000</v>
      </c>
      <c r="L44" s="21">
        <v>1700</v>
      </c>
      <c r="M44" s="21">
        <v>1800</v>
      </c>
      <c r="N44" s="21">
        <v>5500</v>
      </c>
      <c r="O44" s="21">
        <v>0</v>
      </c>
      <c r="P44" s="21">
        <v>0</v>
      </c>
      <c r="Q44" s="21">
        <v>0</v>
      </c>
      <c r="R44" s="21">
        <v>0</v>
      </c>
      <c r="S44" s="21"/>
      <c r="T44" s="21">
        <v>0</v>
      </c>
      <c r="U44" s="21">
        <v>0</v>
      </c>
      <c r="V44" s="21">
        <v>925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43">
        <f t="shared" si="19"/>
        <v>26000</v>
      </c>
      <c r="AC44" s="44">
        <f t="shared" si="26"/>
        <v>26925</v>
      </c>
      <c r="AD44" s="21">
        <v>37</v>
      </c>
      <c r="AE44" s="21">
        <v>100</v>
      </c>
      <c r="AF44" s="21">
        <v>0</v>
      </c>
      <c r="AG44" s="21">
        <v>0</v>
      </c>
      <c r="AH44" s="21">
        <v>0</v>
      </c>
      <c r="AI44" s="21">
        <v>0</v>
      </c>
      <c r="AJ44" s="28">
        <f t="shared" si="29"/>
        <v>137</v>
      </c>
      <c r="AK44" s="47">
        <f t="shared" si="30"/>
        <v>41100</v>
      </c>
      <c r="AL44" s="46">
        <f t="shared" si="31"/>
        <v>41100</v>
      </c>
      <c r="AM44" s="46">
        <f t="shared" si="27"/>
        <v>68025</v>
      </c>
      <c r="AN44" s="32">
        <v>300</v>
      </c>
      <c r="AO44" s="21">
        <v>96</v>
      </c>
      <c r="AP44" s="21">
        <v>0</v>
      </c>
      <c r="AQ44" s="21">
        <v>9700</v>
      </c>
      <c r="AR44" s="21">
        <v>0</v>
      </c>
      <c r="AS44" s="21">
        <v>705</v>
      </c>
      <c r="AT44" s="21">
        <v>0</v>
      </c>
      <c r="AU44" s="21">
        <v>0</v>
      </c>
      <c r="AV44" s="4">
        <v>157</v>
      </c>
      <c r="AW44" s="21">
        <v>277.71337599999998</v>
      </c>
      <c r="AX44" s="28">
        <f t="shared" si="20"/>
        <v>43601.000031999996</v>
      </c>
      <c r="AY44" s="21">
        <v>0</v>
      </c>
      <c r="AZ44" s="21">
        <v>0</v>
      </c>
      <c r="BA44" s="21">
        <v>0</v>
      </c>
      <c r="BB44" s="21">
        <f t="shared" si="23"/>
        <v>96</v>
      </c>
      <c r="BC44" s="38">
        <f t="shared" si="32"/>
        <v>79600</v>
      </c>
      <c r="BD44" s="41">
        <f t="shared" si="8"/>
        <v>105600</v>
      </c>
      <c r="BE44" s="41">
        <f t="shared" si="28"/>
        <v>150831.00003200001</v>
      </c>
      <c r="BF44" s="32">
        <f t="shared" si="13"/>
        <v>457</v>
      </c>
      <c r="BG44" s="21">
        <v>0</v>
      </c>
      <c r="BH44" s="21">
        <v>0</v>
      </c>
      <c r="BI44" s="21">
        <f>BD44*10%</f>
        <v>10560</v>
      </c>
      <c r="BJ44" s="21">
        <v>0</v>
      </c>
      <c r="BK44" s="21">
        <v>0</v>
      </c>
      <c r="BL44" s="21">
        <f t="shared" si="17"/>
        <v>28800</v>
      </c>
      <c r="BM44" s="21"/>
      <c r="BN44" s="21"/>
      <c r="BO44" s="21"/>
      <c r="BP44" s="21">
        <v>6375</v>
      </c>
      <c r="BQ44" s="21">
        <v>0</v>
      </c>
      <c r="BR44" s="21">
        <f>3*160+180</f>
        <v>660</v>
      </c>
      <c r="BS44" s="21"/>
      <c r="BT44" s="21">
        <v>0</v>
      </c>
      <c r="BU44" s="21">
        <v>0</v>
      </c>
      <c r="BV44" s="21">
        <v>450</v>
      </c>
      <c r="BW44" s="21">
        <f>3094.5+936+224</f>
        <v>4254.5</v>
      </c>
      <c r="BX44" s="21"/>
      <c r="BY44" s="21"/>
      <c r="BZ44" s="21"/>
      <c r="CA44" s="21"/>
      <c r="CB44" s="21"/>
      <c r="CC44" s="21"/>
      <c r="CD44" s="21">
        <v>5905.75</v>
      </c>
      <c r="CE44" s="21"/>
      <c r="CF44" s="21"/>
      <c r="CG44" s="21"/>
      <c r="CH44" s="21"/>
      <c r="CI44" s="18">
        <f t="shared" si="11"/>
        <v>17645.25</v>
      </c>
      <c r="CJ44" s="18"/>
      <c r="CK44" s="18"/>
    </row>
    <row r="45" spans="1:94" s="4" customFormat="1">
      <c r="A45" s="4">
        <v>44</v>
      </c>
      <c r="B45" s="152">
        <v>45559</v>
      </c>
      <c r="C45" s="153" t="s">
        <v>139</v>
      </c>
      <c r="D45" s="153"/>
      <c r="E45" s="153" t="s">
        <v>154</v>
      </c>
      <c r="F45" s="153" t="s">
        <v>13</v>
      </c>
      <c r="G45" s="153" t="s">
        <v>8</v>
      </c>
      <c r="H45" s="153">
        <v>465</v>
      </c>
      <c r="I45" s="153" t="s">
        <v>9</v>
      </c>
      <c r="J45" s="29"/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/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44">
        <f t="shared" si="19"/>
        <v>0</v>
      </c>
      <c r="AC45" s="44">
        <f t="shared" si="26"/>
        <v>0</v>
      </c>
      <c r="AD45" s="28">
        <v>25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f t="shared" ref="AJ45:AJ79" si="33">AD45+AE45</f>
        <v>25</v>
      </c>
      <c r="AK45" s="47">
        <f>AJ45*AN45</f>
        <v>3750</v>
      </c>
      <c r="AL45" s="46">
        <f t="shared" si="31"/>
        <v>3750</v>
      </c>
      <c r="AM45" s="46">
        <f t="shared" si="27"/>
        <v>3750</v>
      </c>
      <c r="AN45" s="37">
        <v>150</v>
      </c>
      <c r="AO45" s="28">
        <f>80-25</f>
        <v>55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9">
        <v>0</v>
      </c>
      <c r="AW45" s="28">
        <v>0</v>
      </c>
      <c r="AX45" s="21">
        <f t="shared" ref="AX45:AX54" si="34">AV45*AW45</f>
        <v>0</v>
      </c>
      <c r="AY45" s="28">
        <v>0</v>
      </c>
      <c r="AZ45" s="28">
        <v>0</v>
      </c>
      <c r="BA45" s="28">
        <v>0</v>
      </c>
      <c r="BB45" s="28">
        <f t="shared" si="23"/>
        <v>55</v>
      </c>
      <c r="BC45" s="38">
        <f t="shared" si="32"/>
        <v>12000</v>
      </c>
      <c r="BD45" s="41">
        <f t="shared" si="8"/>
        <v>12000</v>
      </c>
      <c r="BE45" s="41">
        <f t="shared" si="28"/>
        <v>12000</v>
      </c>
      <c r="BF45" s="37">
        <f t="shared" si="13"/>
        <v>150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f t="shared" si="17"/>
        <v>8250</v>
      </c>
      <c r="BM45" s="28"/>
      <c r="BN45" s="28"/>
      <c r="BO45" s="28"/>
      <c r="BP45" s="28">
        <v>3950</v>
      </c>
      <c r="BQ45" s="28">
        <v>0</v>
      </c>
      <c r="BR45" s="28">
        <v>180</v>
      </c>
      <c r="BS45" s="28">
        <v>0</v>
      </c>
      <c r="BT45" s="28">
        <v>0</v>
      </c>
      <c r="BU45" s="28">
        <v>0</v>
      </c>
      <c r="BV45" s="28"/>
      <c r="BW45" s="28">
        <v>6156.65</v>
      </c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34">
        <f>CH45+CG45+CF45+CE45+CD45+CC45+CA45+BZ45+CB45+BY45+BX45+BW45+BV45+BU45+BT45+BS45+BR45+BQ45+BP48+BO45</f>
        <v>10286.65</v>
      </c>
      <c r="CJ45" s="34"/>
      <c r="CK45" s="34"/>
      <c r="CL45" s="29"/>
      <c r="CM45" s="29"/>
      <c r="CN45" s="29"/>
      <c r="CO45" s="29"/>
      <c r="CP45" s="29"/>
    </row>
    <row r="46" spans="1:94" s="8" customFormat="1">
      <c r="A46" s="4">
        <v>45</v>
      </c>
      <c r="B46" s="146">
        <v>45563</v>
      </c>
      <c r="C46" s="147" t="s">
        <v>155</v>
      </c>
      <c r="D46" s="147"/>
      <c r="E46" s="147" t="s">
        <v>151</v>
      </c>
      <c r="F46" s="147" t="s">
        <v>156</v>
      </c>
      <c r="G46" s="147" t="s">
        <v>8</v>
      </c>
      <c r="H46" s="147">
        <v>502</v>
      </c>
      <c r="I46" s="147" t="s">
        <v>9</v>
      </c>
      <c r="J46" s="29"/>
      <c r="K46" s="28">
        <v>5000</v>
      </c>
      <c r="L46" s="28"/>
      <c r="M46" s="28">
        <v>0</v>
      </c>
      <c r="N46" s="28">
        <v>420</v>
      </c>
      <c r="O46" s="28">
        <f>750+200</f>
        <v>950</v>
      </c>
      <c r="P46" s="28">
        <v>350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44">
        <f>K46+L46+M46+N46+O46+P46+Q46+R46+T46</f>
        <v>6720</v>
      </c>
      <c r="AC46" s="44">
        <f>AB46+AA46+Z46+Y46+X46+V46+U46</f>
        <v>6720</v>
      </c>
      <c r="AD46" s="28">
        <v>27</v>
      </c>
      <c r="AE46" s="28"/>
      <c r="AF46" s="28"/>
      <c r="AG46" s="28"/>
      <c r="AH46" s="28"/>
      <c r="AI46" s="28"/>
      <c r="AJ46" s="28">
        <f t="shared" si="33"/>
        <v>27</v>
      </c>
      <c r="AK46" s="47">
        <f>AJ46*AN46</f>
        <v>1620</v>
      </c>
      <c r="AL46" s="46">
        <f t="shared" si="31"/>
        <v>1620</v>
      </c>
      <c r="AM46" s="46">
        <f t="shared" si="27"/>
        <v>8340</v>
      </c>
      <c r="AN46" s="37">
        <v>60</v>
      </c>
      <c r="AO46" s="28">
        <v>112.5</v>
      </c>
      <c r="AP46" s="28"/>
      <c r="AQ46" s="28">
        <v>1250</v>
      </c>
      <c r="AR46" s="28"/>
      <c r="AS46" s="28"/>
      <c r="AT46" s="28"/>
      <c r="AU46" s="28"/>
      <c r="AV46" s="29"/>
      <c r="AW46" s="28"/>
      <c r="AX46" s="21"/>
      <c r="AY46" s="28"/>
      <c r="AZ46" s="28"/>
      <c r="BA46" s="28"/>
      <c r="BB46" s="28"/>
      <c r="BC46" s="38">
        <f t="shared" si="32"/>
        <v>2870</v>
      </c>
      <c r="BD46" s="41">
        <f>BC46+AB46</f>
        <v>9590</v>
      </c>
      <c r="BE46" s="41">
        <f t="shared" si="28"/>
        <v>9590</v>
      </c>
      <c r="BF46" s="37"/>
      <c r="BG46" s="28">
        <v>0</v>
      </c>
      <c r="BH46" s="28">
        <v>0</v>
      </c>
      <c r="BI46" s="28">
        <v>0</v>
      </c>
      <c r="BJ46" s="28"/>
      <c r="BK46" s="28">
        <v>0</v>
      </c>
      <c r="BL46" s="28"/>
      <c r="BM46" s="28"/>
      <c r="BN46" s="28"/>
      <c r="BO46" s="28"/>
      <c r="BP46" s="28"/>
      <c r="BQ46" s="28">
        <v>0</v>
      </c>
      <c r="BR46" s="28">
        <f>1*160+1*180</f>
        <v>340</v>
      </c>
      <c r="BS46" s="28">
        <v>0</v>
      </c>
      <c r="BT46" s="28"/>
      <c r="BU46" s="28">
        <v>0</v>
      </c>
      <c r="BV46" s="28">
        <v>450</v>
      </c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34">
        <f>CH46+CG46+CF46+CE46+CD46+CC46+CA46+BZ46+CB46+BY46+BX46+BW46+BV46+BU46+BT46+BS46+BR46+BQ46+BP49+BO46</f>
        <v>6240</v>
      </c>
      <c r="CJ46" s="34"/>
      <c r="CK46" s="34"/>
      <c r="CL46" s="29"/>
      <c r="CM46" s="29"/>
      <c r="CN46" s="29"/>
      <c r="CO46" s="29"/>
      <c r="CP46" s="29"/>
    </row>
    <row r="47" spans="1:94" s="8" customFormat="1">
      <c r="A47" s="4">
        <v>46</v>
      </c>
      <c r="B47" s="289">
        <v>45575</v>
      </c>
      <c r="C47" s="290" t="s">
        <v>584</v>
      </c>
      <c r="D47" s="290"/>
      <c r="E47" s="290" t="s">
        <v>493</v>
      </c>
      <c r="F47" s="290"/>
      <c r="G47" s="290" t="s">
        <v>8</v>
      </c>
      <c r="H47" s="290"/>
      <c r="I47" s="290" t="s">
        <v>9</v>
      </c>
      <c r="J47" s="29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44"/>
      <c r="AC47" s="44"/>
      <c r="AD47" s="28"/>
      <c r="AE47" s="28"/>
      <c r="AF47" s="28"/>
      <c r="AG47" s="28"/>
      <c r="AH47" s="28"/>
      <c r="AI47" s="28"/>
      <c r="AJ47" s="28"/>
      <c r="AK47" s="47"/>
      <c r="AL47" s="46"/>
      <c r="AM47" s="46"/>
      <c r="AN47" s="37"/>
      <c r="AO47" s="28"/>
      <c r="AP47" s="28"/>
      <c r="AQ47" s="28"/>
      <c r="AR47" s="28"/>
      <c r="AS47" s="28"/>
      <c r="AT47" s="28"/>
      <c r="AU47" s="28"/>
      <c r="AV47" s="29"/>
      <c r="AW47" s="28"/>
      <c r="AX47" s="21"/>
      <c r="AY47" s="28"/>
      <c r="AZ47" s="28"/>
      <c r="BA47" s="28"/>
      <c r="BB47" s="28"/>
      <c r="BC47" s="38"/>
      <c r="BD47" s="41"/>
      <c r="BE47" s="41"/>
      <c r="BF47" s="37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>
        <v>2712.27</v>
      </c>
      <c r="CE47" s="28"/>
      <c r="CF47" s="28"/>
      <c r="CG47" s="28"/>
      <c r="CH47" s="28"/>
      <c r="CI47" s="34"/>
      <c r="CJ47" s="34"/>
      <c r="CK47" s="34"/>
      <c r="CL47" s="29"/>
      <c r="CM47" s="29"/>
      <c r="CN47" s="29"/>
      <c r="CO47" s="29"/>
      <c r="CP47" s="29"/>
    </row>
    <row r="48" spans="1:94" s="8" customFormat="1">
      <c r="A48" s="4">
        <v>47</v>
      </c>
      <c r="B48" s="135">
        <v>45566</v>
      </c>
      <c r="C48" s="136" t="s">
        <v>144</v>
      </c>
      <c r="D48" s="136" t="s">
        <v>38</v>
      </c>
      <c r="E48" s="136" t="s">
        <v>151</v>
      </c>
      <c r="F48" s="136" t="s">
        <v>13</v>
      </c>
      <c r="G48" s="136" t="s">
        <v>8</v>
      </c>
      <c r="H48" s="136">
        <v>505</v>
      </c>
      <c r="I48" s="136" t="s">
        <v>9</v>
      </c>
      <c r="J48" s="4"/>
      <c r="K48" s="21">
        <v>8000</v>
      </c>
      <c r="L48" s="21">
        <v>600</v>
      </c>
      <c r="M48" s="21">
        <v>0</v>
      </c>
      <c r="N48" s="21">
        <v>3190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1761.72</v>
      </c>
      <c r="AA48" s="21">
        <v>0</v>
      </c>
      <c r="AB48" s="43">
        <f t="shared" si="19"/>
        <v>11790</v>
      </c>
      <c r="AC48" s="39">
        <f t="shared" si="26"/>
        <v>13551.72</v>
      </c>
      <c r="AD48" s="21">
        <v>28</v>
      </c>
      <c r="AE48" s="21">
        <v>0</v>
      </c>
      <c r="AF48" s="21">
        <v>0</v>
      </c>
      <c r="AG48" s="21">
        <v>0</v>
      </c>
      <c r="AH48" s="21">
        <v>0</v>
      </c>
      <c r="AI48" s="21">
        <f>2800+4800</f>
        <v>7600</v>
      </c>
      <c r="AJ48" s="21">
        <f t="shared" si="33"/>
        <v>28</v>
      </c>
      <c r="AK48" s="47">
        <f>AJ48*AN48</f>
        <v>7000</v>
      </c>
      <c r="AL48" s="45">
        <f>AK48+AI48+AH48+AG48+AF48</f>
        <v>14600</v>
      </c>
      <c r="AM48" s="45">
        <f t="shared" si="27"/>
        <v>28151.72</v>
      </c>
      <c r="AN48" s="32">
        <v>250</v>
      </c>
      <c r="AO48" s="21">
        <v>133.80000000000001</v>
      </c>
      <c r="AP48" s="21">
        <v>0</v>
      </c>
      <c r="AQ48" s="21">
        <v>4190</v>
      </c>
      <c r="AR48" s="21">
        <v>0</v>
      </c>
      <c r="AS48" s="21">
        <v>0</v>
      </c>
      <c r="AT48" s="21">
        <v>0</v>
      </c>
      <c r="AU48" s="21">
        <v>0</v>
      </c>
      <c r="AV48" s="25">
        <v>0</v>
      </c>
      <c r="AW48" s="21">
        <v>0</v>
      </c>
      <c r="AX48" s="21">
        <f t="shared" si="34"/>
        <v>0</v>
      </c>
      <c r="AY48" s="21">
        <v>0</v>
      </c>
      <c r="AZ48" s="21">
        <v>0</v>
      </c>
      <c r="BA48" s="21">
        <v>8633.7999999999993</v>
      </c>
      <c r="BB48" s="28">
        <f t="shared" si="23"/>
        <v>133.80000000000001</v>
      </c>
      <c r="BC48" s="38">
        <f t="shared" si="32"/>
        <v>44640</v>
      </c>
      <c r="BD48" s="40">
        <f t="shared" si="8"/>
        <v>56430</v>
      </c>
      <c r="BE48" s="40">
        <f>(BC48+BA48+AY48+AT48)+(AI48+AH48+AC48)+AX48+AZ48+AS48+AR48+AG48+AF48</f>
        <v>74425.52</v>
      </c>
      <c r="BF48" s="33">
        <f t="shared" si="13"/>
        <v>250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8">
        <f t="shared" si="17"/>
        <v>33450</v>
      </c>
      <c r="BM48" s="4"/>
      <c r="BN48" s="4"/>
      <c r="BO48" s="21"/>
      <c r="BP48" s="21">
        <v>3950</v>
      </c>
      <c r="BQ48" s="21">
        <v>0</v>
      </c>
      <c r="BR48" s="21">
        <f>160+300</f>
        <v>460</v>
      </c>
      <c r="BS48" s="21">
        <v>0</v>
      </c>
      <c r="BT48" s="21">
        <v>200</v>
      </c>
      <c r="BU48" s="21">
        <v>510</v>
      </c>
      <c r="BV48" s="21">
        <v>450</v>
      </c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>
        <v>500</v>
      </c>
      <c r="CI48" s="34">
        <f t="shared" ref="CI48:CI78" si="35">CH48+CG48+CF48+CE48+CD48+CC48+CA48+BZ48+CB48+BY48+BX48+BW48+BV48+BU48+BT48+BS48+BR48+BQ48+BP50+BO48</f>
        <v>6070</v>
      </c>
      <c r="CJ48" s="32"/>
      <c r="CK48" s="32"/>
      <c r="CL48" s="4"/>
      <c r="CM48" s="4"/>
      <c r="CN48" s="4"/>
      <c r="CO48" s="4"/>
      <c r="CP48" s="4"/>
    </row>
    <row r="49" spans="1:96" s="8" customFormat="1">
      <c r="A49" s="4">
        <v>48</v>
      </c>
      <c r="B49" s="135">
        <v>45576</v>
      </c>
      <c r="C49" s="136" t="s">
        <v>145</v>
      </c>
      <c r="D49" s="136" t="s">
        <v>15</v>
      </c>
      <c r="E49" s="136" t="s">
        <v>151</v>
      </c>
      <c r="F49" s="136" t="s">
        <v>24</v>
      </c>
      <c r="G49" s="136" t="s">
        <v>8</v>
      </c>
      <c r="H49" s="136">
        <v>344</v>
      </c>
      <c r="I49" s="136" t="s">
        <v>9</v>
      </c>
      <c r="J49" s="4"/>
      <c r="K49" s="21">
        <v>20000</v>
      </c>
      <c r="L49" s="21">
        <v>2000</v>
      </c>
      <c r="M49" s="21">
        <v>1500</v>
      </c>
      <c r="N49" s="21">
        <v>7300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43">
        <f t="shared" si="19"/>
        <v>30800</v>
      </c>
      <c r="AC49" s="43">
        <f t="shared" si="26"/>
        <v>30800</v>
      </c>
      <c r="AD49" s="4">
        <v>40</v>
      </c>
      <c r="AE49" s="4">
        <v>53</v>
      </c>
      <c r="AF49" s="4">
        <v>0</v>
      </c>
      <c r="AG49" s="4">
        <v>0</v>
      </c>
      <c r="AH49" s="4">
        <v>0</v>
      </c>
      <c r="AI49" s="4">
        <v>0</v>
      </c>
      <c r="AJ49" s="4">
        <f t="shared" si="33"/>
        <v>93</v>
      </c>
      <c r="AK49" s="47">
        <f>AJ49*AN49</f>
        <v>45663</v>
      </c>
      <c r="AL49" s="45">
        <f>AK49+AI49+AH49+AG49+AF49</f>
        <v>45663</v>
      </c>
      <c r="AM49" s="45">
        <f t="shared" si="27"/>
        <v>76463</v>
      </c>
      <c r="AN49" s="32">
        <v>491</v>
      </c>
      <c r="AO49" s="21">
        <f>102-9.9</f>
        <v>92.1</v>
      </c>
      <c r="AP49" s="21">
        <v>9.9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4">
        <v>69</v>
      </c>
      <c r="AW49" s="21">
        <v>195</v>
      </c>
      <c r="AX49" s="21">
        <f t="shared" si="34"/>
        <v>13455</v>
      </c>
      <c r="AY49" s="21">
        <v>0</v>
      </c>
      <c r="AZ49" s="21">
        <v>0</v>
      </c>
      <c r="BA49" s="21">
        <v>0</v>
      </c>
      <c r="BB49" s="28">
        <f t="shared" si="23"/>
        <v>102</v>
      </c>
      <c r="BC49" s="38">
        <f>(BB49+AJ49)*AN49+AQ49</f>
        <v>95745</v>
      </c>
      <c r="BD49" s="45">
        <f t="shared" si="8"/>
        <v>126545</v>
      </c>
      <c r="BE49" s="40">
        <f t="shared" ref="BE49:BE51" si="36">(BC49+BA49+AY49+AT49)+(AI49+AH49+AC49)+AX49+AZ49+AS49+AR49+AG49+AF49</f>
        <v>140000</v>
      </c>
      <c r="BF49" s="32">
        <f t="shared" si="13"/>
        <v>560</v>
      </c>
      <c r="BG49" s="21">
        <v>0</v>
      </c>
      <c r="BH49" s="21">
        <v>0</v>
      </c>
      <c r="BI49" s="21">
        <v>0</v>
      </c>
      <c r="BJ49" s="21">
        <f>BE49*10%</f>
        <v>14000</v>
      </c>
      <c r="BK49" s="21">
        <v>0</v>
      </c>
      <c r="BL49" s="28">
        <f t="shared" si="17"/>
        <v>45221.1</v>
      </c>
      <c r="BM49" s="4"/>
      <c r="BN49" s="4"/>
      <c r="BO49" s="21"/>
      <c r="BP49" s="21">
        <v>5450</v>
      </c>
      <c r="BQ49" s="21">
        <v>0</v>
      </c>
      <c r="BR49" s="21">
        <f>1120+440</f>
        <v>1560</v>
      </c>
      <c r="BS49" s="21">
        <v>0</v>
      </c>
      <c r="BT49" s="21">
        <v>1232.5</v>
      </c>
      <c r="BU49" s="21">
        <v>0</v>
      </c>
      <c r="BV49" s="21">
        <v>450</v>
      </c>
      <c r="BW49" s="21"/>
      <c r="BX49" s="21"/>
      <c r="BY49" s="21"/>
      <c r="BZ49" s="21"/>
      <c r="CA49" s="21"/>
      <c r="CB49" s="21"/>
      <c r="CC49" s="21"/>
      <c r="CD49" s="21">
        <f>5033.1+5138.55</f>
        <v>10171.650000000001</v>
      </c>
      <c r="CE49" s="21"/>
      <c r="CF49" s="21"/>
      <c r="CG49" s="21"/>
      <c r="CH49" s="21"/>
      <c r="CI49" s="34">
        <f t="shared" si="35"/>
        <v>13414.150000000001</v>
      </c>
      <c r="CJ49" s="32"/>
      <c r="CK49" s="32"/>
      <c r="CL49" s="4"/>
      <c r="CM49" s="4"/>
      <c r="CN49" s="4"/>
      <c r="CO49" s="4"/>
      <c r="CP49" s="4"/>
    </row>
    <row r="50" spans="1:96" s="8" customFormat="1">
      <c r="A50" s="4">
        <v>49</v>
      </c>
      <c r="B50" s="135">
        <v>45580</v>
      </c>
      <c r="C50" s="136" t="s">
        <v>146</v>
      </c>
      <c r="D50" s="136"/>
      <c r="E50" s="136" t="s">
        <v>151</v>
      </c>
      <c r="F50" s="136" t="s">
        <v>13</v>
      </c>
      <c r="G50" s="136" t="s">
        <v>32</v>
      </c>
      <c r="H50" s="136">
        <v>519</v>
      </c>
      <c r="I50" s="136" t="s">
        <v>9</v>
      </c>
      <c r="J50" s="4"/>
      <c r="K50" s="21">
        <v>16000</v>
      </c>
      <c r="L50" s="21">
        <v>0</v>
      </c>
      <c r="M50" s="21">
        <v>0</v>
      </c>
      <c r="N50" s="21">
        <v>8625</v>
      </c>
      <c r="O50" s="21">
        <v>220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1980</v>
      </c>
      <c r="AA50" s="21"/>
      <c r="AB50" s="43">
        <f t="shared" si="19"/>
        <v>24845</v>
      </c>
      <c r="AC50" s="43">
        <f t="shared" si="26"/>
        <v>26825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4">
        <f t="shared" si="33"/>
        <v>0</v>
      </c>
      <c r="AK50" s="47">
        <f t="shared" ref="AK50:AK51" si="37">AJ50*AN50</f>
        <v>0</v>
      </c>
      <c r="AL50" s="42">
        <f>AK50+AI50+AH50+AG50+AF50</f>
        <v>0</v>
      </c>
      <c r="AM50" s="42">
        <f t="shared" si="27"/>
        <v>26825</v>
      </c>
      <c r="AN50" s="32"/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5">
        <v>0</v>
      </c>
      <c r="AW50" s="21">
        <v>0</v>
      </c>
      <c r="AX50" s="21">
        <f t="shared" si="34"/>
        <v>0</v>
      </c>
      <c r="AY50" s="21">
        <v>0</v>
      </c>
      <c r="AZ50" s="21">
        <v>0</v>
      </c>
      <c r="BA50" s="21">
        <v>0</v>
      </c>
      <c r="BB50" s="28">
        <f t="shared" si="23"/>
        <v>0</v>
      </c>
      <c r="BC50" s="38">
        <f t="shared" si="32"/>
        <v>0</v>
      </c>
      <c r="BD50" s="42">
        <f t="shared" si="8"/>
        <v>24845</v>
      </c>
      <c r="BE50" s="40">
        <f t="shared" si="36"/>
        <v>26825</v>
      </c>
      <c r="BF50" s="32">
        <f t="shared" si="13"/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8">
        <f t="shared" si="17"/>
        <v>0</v>
      </c>
      <c r="BM50" s="4"/>
      <c r="BN50" s="4"/>
      <c r="BO50" s="21"/>
      <c r="BP50" s="21">
        <v>3950</v>
      </c>
      <c r="BQ50" s="21">
        <v>0</v>
      </c>
      <c r="BR50" s="21">
        <f>470+160</f>
        <v>630</v>
      </c>
      <c r="BS50" s="21">
        <v>0</v>
      </c>
      <c r="BT50" s="21">
        <v>262.5</v>
      </c>
      <c r="BU50" s="21">
        <v>0</v>
      </c>
      <c r="BV50" s="21">
        <v>450</v>
      </c>
      <c r="BW50" s="21">
        <v>961.5</v>
      </c>
      <c r="BX50" s="21"/>
      <c r="BY50" s="21"/>
      <c r="BZ50" s="21"/>
      <c r="CA50" s="21"/>
      <c r="CB50" s="21"/>
      <c r="CC50" s="21"/>
      <c r="CD50" s="21">
        <v>9623.4</v>
      </c>
      <c r="CE50" s="21"/>
      <c r="CF50" s="21"/>
      <c r="CG50" s="21"/>
      <c r="CH50" s="21"/>
      <c r="CI50" s="34">
        <f t="shared" si="35"/>
        <v>13427.4</v>
      </c>
      <c r="CJ50" s="32"/>
      <c r="CK50" s="32"/>
      <c r="CL50" s="4"/>
      <c r="CM50" s="4"/>
      <c r="CN50" s="4"/>
      <c r="CO50" s="4"/>
      <c r="CP50" s="4"/>
    </row>
    <row r="51" spans="1:96" s="8" customFormat="1" ht="17.25" customHeight="1">
      <c r="A51" s="29">
        <v>50</v>
      </c>
      <c r="B51" s="137">
        <v>45597</v>
      </c>
      <c r="C51" s="138" t="s">
        <v>147</v>
      </c>
      <c r="D51" s="138" t="s">
        <v>148</v>
      </c>
      <c r="E51" s="138" t="s">
        <v>151</v>
      </c>
      <c r="F51" s="138" t="s">
        <v>149</v>
      </c>
      <c r="G51" s="138" t="s">
        <v>32</v>
      </c>
      <c r="H51" s="138">
        <v>530</v>
      </c>
      <c r="I51" s="138" t="s">
        <v>9</v>
      </c>
      <c r="J51" s="4"/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43">
        <f t="shared" si="19"/>
        <v>0</v>
      </c>
      <c r="AC51" s="43">
        <f t="shared" si="26"/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f t="shared" si="33"/>
        <v>0</v>
      </c>
      <c r="AK51" s="47">
        <f t="shared" si="37"/>
        <v>0</v>
      </c>
      <c r="AL51" s="42">
        <f>AK51+AI51+AH51+AG51+AF51</f>
        <v>0</v>
      </c>
      <c r="AM51" s="42">
        <f t="shared" si="27"/>
        <v>0</v>
      </c>
      <c r="AN51" s="32"/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5">
        <v>0</v>
      </c>
      <c r="AW51" s="21">
        <v>0</v>
      </c>
      <c r="AX51" s="21">
        <f t="shared" si="34"/>
        <v>0</v>
      </c>
      <c r="AY51" s="21">
        <v>0</v>
      </c>
      <c r="AZ51" s="21">
        <v>0</v>
      </c>
      <c r="BA51" s="21">
        <v>0</v>
      </c>
      <c r="BB51" s="28">
        <f t="shared" si="23"/>
        <v>0</v>
      </c>
      <c r="BC51" s="38">
        <f t="shared" si="32"/>
        <v>0</v>
      </c>
      <c r="BD51" s="42">
        <f t="shared" si="8"/>
        <v>0</v>
      </c>
      <c r="BE51" s="40">
        <f t="shared" si="36"/>
        <v>0</v>
      </c>
      <c r="BF51" s="32">
        <f t="shared" si="13"/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8">
        <f t="shared" si="17"/>
        <v>0</v>
      </c>
      <c r="BM51" s="4">
        <v>0</v>
      </c>
      <c r="BN51" s="4"/>
      <c r="BO51" s="21"/>
      <c r="BP51" s="21">
        <v>0</v>
      </c>
      <c r="BQ51" s="21">
        <v>0</v>
      </c>
      <c r="BR51" s="21">
        <v>1020</v>
      </c>
      <c r="BS51" s="21">
        <v>0</v>
      </c>
      <c r="BT51" s="21">
        <f>320+160+380</f>
        <v>860</v>
      </c>
      <c r="BU51" s="21">
        <v>0</v>
      </c>
      <c r="BV51" s="21">
        <v>450</v>
      </c>
      <c r="BW51" s="108"/>
      <c r="BX51" s="21"/>
      <c r="BY51" s="21">
        <v>480</v>
      </c>
      <c r="BZ51" s="21"/>
      <c r="CA51" s="21"/>
      <c r="CB51" s="21"/>
      <c r="CC51" s="21"/>
      <c r="CD51" s="21"/>
      <c r="CE51" s="21"/>
      <c r="CF51" s="21"/>
      <c r="CG51" s="21"/>
      <c r="CH51" s="21">
        <v>600</v>
      </c>
      <c r="CI51" s="34">
        <f t="shared" si="35"/>
        <v>7910</v>
      </c>
      <c r="CJ51" s="32"/>
      <c r="CK51" s="32"/>
      <c r="CL51" s="4"/>
      <c r="CM51" s="4"/>
      <c r="CN51" s="4"/>
      <c r="CO51" s="4"/>
      <c r="CP51" s="4"/>
    </row>
    <row r="52" spans="1:96">
      <c r="A52" s="73">
        <v>51</v>
      </c>
      <c r="B52" s="135">
        <v>45586</v>
      </c>
      <c r="C52" s="136" t="s">
        <v>44</v>
      </c>
      <c r="D52" s="136" t="s">
        <v>36</v>
      </c>
      <c r="E52" s="136" t="s">
        <v>151</v>
      </c>
      <c r="F52" s="136" t="s">
        <v>131</v>
      </c>
      <c r="G52" s="136" t="s">
        <v>8</v>
      </c>
      <c r="H52" s="136">
        <v>523</v>
      </c>
      <c r="I52" s="136" t="s">
        <v>9</v>
      </c>
      <c r="J52" s="4"/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44">
        <f t="shared" ref="AB52:AB78" si="38">K52+L52+M52+N52+O52+P52+Q52+R52+T52</f>
        <v>0</v>
      </c>
      <c r="AC52" s="44">
        <f t="shared" ref="AC52:AC58" si="39">AB52+AA52+Z52+Y52+X52+V52+U52</f>
        <v>0</v>
      </c>
      <c r="AD52" s="21">
        <v>17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8">
        <f t="shared" si="33"/>
        <v>17</v>
      </c>
      <c r="AK52" s="47">
        <f t="shared" ref="AK52:AK79" si="40">AJ52*AN52</f>
        <v>8245</v>
      </c>
      <c r="AL52" s="48">
        <f t="shared" ref="AL52:AL79" si="41">AK52+AI52+AH52+AG52+AF52</f>
        <v>8245</v>
      </c>
      <c r="AM52" s="48">
        <f t="shared" si="27"/>
        <v>8245</v>
      </c>
      <c r="AN52" s="32">
        <v>485</v>
      </c>
      <c r="AO52" s="21">
        <v>70</v>
      </c>
      <c r="AP52" s="21">
        <v>0</v>
      </c>
      <c r="AQ52" s="21">
        <v>2500</v>
      </c>
      <c r="AR52" s="21">
        <v>0</v>
      </c>
      <c r="AS52" s="21">
        <v>0</v>
      </c>
      <c r="AT52" s="21">
        <v>0</v>
      </c>
      <c r="AU52" s="21">
        <v>0</v>
      </c>
      <c r="AV52" s="25">
        <v>0</v>
      </c>
      <c r="AW52" s="21">
        <v>0</v>
      </c>
      <c r="AX52" s="21">
        <f t="shared" si="34"/>
        <v>0</v>
      </c>
      <c r="AY52" s="21">
        <v>0</v>
      </c>
      <c r="AZ52" s="21">
        <v>0</v>
      </c>
      <c r="BA52" s="21">
        <v>6678.56</v>
      </c>
      <c r="BB52" s="28">
        <f t="shared" si="23"/>
        <v>70</v>
      </c>
      <c r="BC52" s="38">
        <f t="shared" ref="BC52:BC78" si="42">(BB52+AJ52)*AN52+AQ52</f>
        <v>44695</v>
      </c>
      <c r="BD52" s="41">
        <f t="shared" ref="BD52:BD78" si="43">BC52+AB52</f>
        <v>44695</v>
      </c>
      <c r="BE52" s="41">
        <f t="shared" ref="BE52:BE78" si="44">(BC52+BA52+AY52+AT52)+(AI52+AH52+AC52)+AX52+AZ52+AS52+AR52+AG52+AF52</f>
        <v>51373.56</v>
      </c>
      <c r="BF52" s="32">
        <f t="shared" si="13"/>
        <v>485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8">
        <f t="shared" si="17"/>
        <v>33950</v>
      </c>
      <c r="BM52" s="4"/>
      <c r="BN52" s="4"/>
      <c r="BO52" s="21"/>
      <c r="BP52" s="21">
        <v>1500</v>
      </c>
      <c r="BQ52" s="21">
        <v>0</v>
      </c>
      <c r="BR52" s="21">
        <v>180</v>
      </c>
      <c r="BS52" s="21">
        <v>0</v>
      </c>
      <c r="BT52" s="21">
        <v>0</v>
      </c>
      <c r="BU52" s="21">
        <v>0</v>
      </c>
      <c r="BV52" s="21">
        <v>210</v>
      </c>
      <c r="BW52" s="21"/>
      <c r="BX52" s="21"/>
      <c r="BY52" s="21"/>
      <c r="BZ52" s="21"/>
      <c r="CA52" s="21"/>
      <c r="CB52" s="21"/>
      <c r="CC52" s="21"/>
      <c r="CD52" s="21">
        <v>4887</v>
      </c>
      <c r="CE52" s="21"/>
      <c r="CF52" s="21"/>
      <c r="CG52" s="21"/>
      <c r="CH52" s="21"/>
      <c r="CI52" s="34">
        <f t="shared" si="35"/>
        <v>10727</v>
      </c>
      <c r="CJ52" s="32"/>
      <c r="CK52" s="32"/>
      <c r="CL52" s="4"/>
      <c r="CM52" s="4"/>
      <c r="CN52" s="4"/>
      <c r="CO52" s="4"/>
      <c r="CP52" s="4"/>
      <c r="CQ52" s="8"/>
      <c r="CR52" s="8"/>
    </row>
    <row r="53" spans="1:96">
      <c r="A53" s="30">
        <v>52</v>
      </c>
      <c r="B53" s="135">
        <v>45584</v>
      </c>
      <c r="C53" s="136" t="s">
        <v>160</v>
      </c>
      <c r="D53" s="136" t="s">
        <v>161</v>
      </c>
      <c r="E53" s="136" t="s">
        <v>151</v>
      </c>
      <c r="F53" s="136" t="s">
        <v>159</v>
      </c>
      <c r="G53" s="136" t="s">
        <v>32</v>
      </c>
      <c r="H53" s="136">
        <v>314</v>
      </c>
      <c r="I53" s="136" t="s">
        <v>9</v>
      </c>
      <c r="J53" s="4"/>
      <c r="K53" s="21">
        <v>16000</v>
      </c>
      <c r="L53" s="21">
        <v>0</v>
      </c>
      <c r="M53" s="21">
        <v>2200</v>
      </c>
      <c r="N53" s="21">
        <v>5500</v>
      </c>
      <c r="O53" s="21">
        <v>800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44">
        <f t="shared" si="38"/>
        <v>24500</v>
      </c>
      <c r="AC53" s="44">
        <f t="shared" si="39"/>
        <v>24500</v>
      </c>
      <c r="AD53" s="21">
        <v>23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8">
        <f t="shared" si="33"/>
        <v>23</v>
      </c>
      <c r="AK53" s="47">
        <f t="shared" si="40"/>
        <v>5520</v>
      </c>
      <c r="AL53" s="48">
        <f t="shared" si="41"/>
        <v>5520</v>
      </c>
      <c r="AM53" s="48">
        <f t="shared" si="27"/>
        <v>30020</v>
      </c>
      <c r="AN53" s="32">
        <v>240</v>
      </c>
      <c r="AO53" s="21">
        <v>189.87</v>
      </c>
      <c r="AP53" s="21">
        <v>0</v>
      </c>
      <c r="AQ53" s="21">
        <v>8660</v>
      </c>
      <c r="AR53" s="21">
        <v>0</v>
      </c>
      <c r="AS53" s="21">
        <v>0</v>
      </c>
      <c r="AT53" s="21">
        <v>750</v>
      </c>
      <c r="AU53" s="21">
        <v>0</v>
      </c>
      <c r="AV53" s="25">
        <v>9</v>
      </c>
      <c r="AW53" s="21">
        <v>180</v>
      </c>
      <c r="AX53" s="21">
        <f t="shared" si="34"/>
        <v>1620</v>
      </c>
      <c r="AY53" s="21">
        <v>0</v>
      </c>
      <c r="AZ53" s="21">
        <v>0</v>
      </c>
      <c r="BA53" s="21">
        <v>0</v>
      </c>
      <c r="BB53" s="28">
        <f t="shared" si="23"/>
        <v>189.87</v>
      </c>
      <c r="BC53" s="38">
        <f t="shared" si="42"/>
        <v>59748.800000000003</v>
      </c>
      <c r="BD53" s="41">
        <f t="shared" si="43"/>
        <v>84248.8</v>
      </c>
      <c r="BE53" s="41">
        <f t="shared" si="44"/>
        <v>86618.8</v>
      </c>
      <c r="BF53" s="32">
        <f>AV53+AN53</f>
        <v>249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8">
        <f t="shared" si="17"/>
        <v>45568.800000000003</v>
      </c>
      <c r="BM53" s="4">
        <v>0</v>
      </c>
      <c r="BN53" s="4"/>
      <c r="BO53" s="21"/>
      <c r="BP53" s="21">
        <v>4500</v>
      </c>
      <c r="BQ53" s="21">
        <v>0</v>
      </c>
      <c r="BR53" s="21">
        <v>1350</v>
      </c>
      <c r="BS53" s="21">
        <v>0</v>
      </c>
      <c r="BT53" s="21">
        <v>320</v>
      </c>
      <c r="BU53" s="21">
        <f>230+5*230</f>
        <v>1380</v>
      </c>
      <c r="BV53" s="21">
        <v>450</v>
      </c>
      <c r="BW53" s="21"/>
      <c r="BX53" s="21"/>
      <c r="BY53" s="21"/>
      <c r="BZ53" s="21"/>
      <c r="CA53" s="21"/>
      <c r="CB53" s="21"/>
      <c r="CC53" s="21"/>
      <c r="CD53" s="21">
        <f>1924.68+2606.4</f>
        <v>4531.08</v>
      </c>
      <c r="CE53" s="21"/>
      <c r="CF53" s="21"/>
      <c r="CG53" s="21">
        <v>720</v>
      </c>
      <c r="CH53" s="21"/>
      <c r="CI53" s="34">
        <f t="shared" si="35"/>
        <v>12701.08</v>
      </c>
      <c r="CJ53" s="32"/>
      <c r="CK53" s="32"/>
      <c r="CL53" s="4"/>
      <c r="CM53" s="4">
        <v>270</v>
      </c>
      <c r="CN53" s="4"/>
      <c r="CO53" s="4"/>
      <c r="CP53" s="4"/>
      <c r="CQ53" s="8"/>
      <c r="CR53" s="8"/>
    </row>
    <row r="54" spans="1:96">
      <c r="A54" s="30">
        <v>53</v>
      </c>
      <c r="B54" s="135">
        <v>45548</v>
      </c>
      <c r="C54" s="136" t="s">
        <v>162</v>
      </c>
      <c r="D54" s="136" t="s">
        <v>28</v>
      </c>
      <c r="E54" s="136" t="s">
        <v>151</v>
      </c>
      <c r="F54" s="136" t="s">
        <v>132</v>
      </c>
      <c r="G54" s="136" t="s">
        <v>8</v>
      </c>
      <c r="H54" s="136">
        <v>424</v>
      </c>
      <c r="I54" s="136" t="s">
        <v>9</v>
      </c>
      <c r="J54" s="4"/>
      <c r="K54" s="21">
        <v>6600</v>
      </c>
      <c r="L54" s="21">
        <v>1700</v>
      </c>
      <c r="M54" s="21">
        <v>1800</v>
      </c>
      <c r="N54" s="21">
        <v>5500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925</v>
      </c>
      <c r="W54" s="21">
        <v>0</v>
      </c>
      <c r="X54" s="21">
        <v>0</v>
      </c>
      <c r="Y54" s="21">
        <v>0</v>
      </c>
      <c r="Z54" s="21">
        <v>0</v>
      </c>
      <c r="AA54" s="21">
        <v>2444</v>
      </c>
      <c r="AB54" s="44">
        <f t="shared" si="38"/>
        <v>15600</v>
      </c>
      <c r="AC54" s="44">
        <f t="shared" si="39"/>
        <v>18969</v>
      </c>
      <c r="AD54" s="21">
        <v>37</v>
      </c>
      <c r="AE54" s="21">
        <f>10+5.7</f>
        <v>15.7</v>
      </c>
      <c r="AF54" s="21">
        <v>0</v>
      </c>
      <c r="AG54" s="21">
        <v>0</v>
      </c>
      <c r="AH54" s="21">
        <v>0</v>
      </c>
      <c r="AI54" s="21">
        <v>0</v>
      </c>
      <c r="AJ54" s="21">
        <f t="shared" si="33"/>
        <v>52.7</v>
      </c>
      <c r="AK54" s="47">
        <f t="shared" si="40"/>
        <v>15810</v>
      </c>
      <c r="AL54" s="48">
        <f t="shared" si="41"/>
        <v>15810</v>
      </c>
      <c r="AM54" s="48">
        <f t="shared" si="27"/>
        <v>34779</v>
      </c>
      <c r="AN54" s="32">
        <v>300</v>
      </c>
      <c r="AO54" s="21">
        <v>96</v>
      </c>
      <c r="AP54" s="21">
        <v>0</v>
      </c>
      <c r="AQ54" s="21">
        <v>9700</v>
      </c>
      <c r="AR54" s="21">
        <v>0</v>
      </c>
      <c r="AS54" s="21">
        <v>705</v>
      </c>
      <c r="AT54" s="21">
        <v>0</v>
      </c>
      <c r="AU54" s="21">
        <v>0</v>
      </c>
      <c r="AV54" s="25">
        <v>153</v>
      </c>
      <c r="AW54" s="21">
        <v>285</v>
      </c>
      <c r="AX54" s="21">
        <f t="shared" si="34"/>
        <v>43605</v>
      </c>
      <c r="AY54" s="21">
        <v>0</v>
      </c>
      <c r="AZ54" s="21">
        <v>0</v>
      </c>
      <c r="BA54" s="21">
        <v>0</v>
      </c>
      <c r="BB54" s="28">
        <f t="shared" si="23"/>
        <v>96</v>
      </c>
      <c r="BC54" s="38">
        <f t="shared" si="42"/>
        <v>54310</v>
      </c>
      <c r="BD54" s="41">
        <f t="shared" si="43"/>
        <v>69910</v>
      </c>
      <c r="BE54" s="41">
        <f t="shared" si="44"/>
        <v>117589</v>
      </c>
      <c r="BF54" s="32">
        <f t="shared" si="13"/>
        <v>453</v>
      </c>
      <c r="BG54" s="21">
        <v>0</v>
      </c>
      <c r="BH54" s="21">
        <v>0</v>
      </c>
      <c r="BI54" s="21">
        <f>BD54*10%</f>
        <v>6991</v>
      </c>
      <c r="BJ54" s="21">
        <v>0</v>
      </c>
      <c r="BK54" s="21"/>
      <c r="BL54" s="28">
        <f t="shared" si="17"/>
        <v>28800</v>
      </c>
      <c r="BM54" s="4"/>
      <c r="BN54" s="4"/>
      <c r="BO54" s="21"/>
      <c r="BP54" s="21">
        <v>5450</v>
      </c>
      <c r="BQ54" s="21">
        <v>0</v>
      </c>
      <c r="BR54" s="21">
        <f>1180+1160</f>
        <v>2340</v>
      </c>
      <c r="BS54" s="21">
        <v>0</v>
      </c>
      <c r="BT54" s="21">
        <v>437.5</v>
      </c>
      <c r="BU54" s="21">
        <v>0</v>
      </c>
      <c r="BV54" s="21">
        <v>450</v>
      </c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34">
        <f t="shared" si="35"/>
        <v>7177.5</v>
      </c>
      <c r="CJ54" s="32"/>
      <c r="CK54" s="32"/>
      <c r="CL54" s="4"/>
      <c r="CM54" s="4"/>
      <c r="CN54" s="4"/>
      <c r="CO54" s="4"/>
      <c r="CP54" s="4"/>
      <c r="CQ54" s="8"/>
      <c r="CR54" s="8"/>
    </row>
    <row r="55" spans="1:96">
      <c r="A55" s="30">
        <v>54</v>
      </c>
      <c r="B55" s="135">
        <v>45587</v>
      </c>
      <c r="C55" s="136" t="s">
        <v>163</v>
      </c>
      <c r="D55" s="136" t="s">
        <v>9</v>
      </c>
      <c r="E55" s="136" t="s">
        <v>151</v>
      </c>
      <c r="F55" s="136" t="s">
        <v>164</v>
      </c>
      <c r="G55" s="136" t="s">
        <v>8</v>
      </c>
      <c r="H55" s="136">
        <v>520</v>
      </c>
      <c r="I55" s="136" t="s">
        <v>9</v>
      </c>
      <c r="J55" s="4"/>
      <c r="K55" s="21">
        <v>18000</v>
      </c>
      <c r="L55" s="21">
        <v>1800</v>
      </c>
      <c r="M55" s="21">
        <v>1800</v>
      </c>
      <c r="N55" s="21">
        <v>7100</v>
      </c>
      <c r="O55" s="21">
        <v>1380</v>
      </c>
      <c r="P55" s="21">
        <v>0</v>
      </c>
      <c r="Q55" s="21">
        <v>0</v>
      </c>
      <c r="R55" s="21">
        <v>0</v>
      </c>
      <c r="S55" s="21">
        <v>0</v>
      </c>
      <c r="T55" s="21">
        <v>7000</v>
      </c>
      <c r="U55" s="21">
        <v>0</v>
      </c>
      <c r="V55" s="21">
        <v>0</v>
      </c>
      <c r="W55" s="21">
        <v>0</v>
      </c>
      <c r="X55" s="21">
        <v>7250</v>
      </c>
      <c r="Y55" s="21">
        <v>0</v>
      </c>
      <c r="Z55" s="21">
        <v>0</v>
      </c>
      <c r="AA55" s="21">
        <v>0</v>
      </c>
      <c r="AB55" s="44">
        <f t="shared" si="38"/>
        <v>37080</v>
      </c>
      <c r="AC55" s="44">
        <f t="shared" si="39"/>
        <v>44330</v>
      </c>
      <c r="AD55" s="21"/>
      <c r="AE55" s="21">
        <v>36.659999999999997</v>
      </c>
      <c r="AF55" s="21">
        <v>0</v>
      </c>
      <c r="AG55" s="21">
        <v>0</v>
      </c>
      <c r="AH55" s="21">
        <v>0</v>
      </c>
      <c r="AI55" s="21">
        <f>2340+1416</f>
        <v>3756</v>
      </c>
      <c r="AJ55" s="21">
        <f t="shared" si="33"/>
        <v>36.659999999999997</v>
      </c>
      <c r="AK55" s="47">
        <f t="shared" si="40"/>
        <v>10997.999999999998</v>
      </c>
      <c r="AL55" s="48">
        <f t="shared" si="41"/>
        <v>14753.999999999998</v>
      </c>
      <c r="AM55" s="48">
        <f t="shared" si="27"/>
        <v>59084</v>
      </c>
      <c r="AN55" s="32">
        <v>300</v>
      </c>
      <c r="AO55" s="21">
        <v>36</v>
      </c>
      <c r="AP55" s="21">
        <v>0</v>
      </c>
      <c r="AQ55" s="21">
        <v>2530</v>
      </c>
      <c r="AR55" s="21">
        <v>0</v>
      </c>
      <c r="AS55" s="21">
        <v>0</v>
      </c>
      <c r="AT55" s="21">
        <v>0</v>
      </c>
      <c r="AU55" s="21">
        <v>0</v>
      </c>
      <c r="AV55" s="25">
        <v>0</v>
      </c>
      <c r="AW55" s="21">
        <v>10</v>
      </c>
      <c r="AX55" s="21">
        <v>12</v>
      </c>
      <c r="AY55" s="21">
        <v>0</v>
      </c>
      <c r="AZ55" s="21">
        <v>0</v>
      </c>
      <c r="BA55" s="21">
        <v>0</v>
      </c>
      <c r="BB55" s="28">
        <f t="shared" si="23"/>
        <v>36</v>
      </c>
      <c r="BC55" s="38">
        <f t="shared" si="42"/>
        <v>24328</v>
      </c>
      <c r="BD55" s="41">
        <f t="shared" si="43"/>
        <v>61408</v>
      </c>
      <c r="BE55" s="41">
        <f t="shared" si="44"/>
        <v>72426</v>
      </c>
      <c r="BF55" s="32">
        <f t="shared" si="13"/>
        <v>300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8">
        <f t="shared" si="17"/>
        <v>10800</v>
      </c>
      <c r="BM55" s="4"/>
      <c r="BN55" s="4"/>
      <c r="BO55" s="21"/>
      <c r="BP55" s="21">
        <v>3950</v>
      </c>
      <c r="BQ55" s="21">
        <v>0</v>
      </c>
      <c r="BR55" s="21">
        <v>640</v>
      </c>
      <c r="BS55" s="21">
        <v>0</v>
      </c>
      <c r="BT55" s="21">
        <v>1800</v>
      </c>
      <c r="BU55" s="21">
        <v>0</v>
      </c>
      <c r="BV55" s="21">
        <v>450</v>
      </c>
      <c r="BW55" s="21"/>
      <c r="BX55" s="21"/>
      <c r="BY55" s="21"/>
      <c r="BZ55" s="21"/>
      <c r="CA55" s="21"/>
      <c r="CB55" s="21"/>
      <c r="CC55" s="21"/>
      <c r="CD55" s="21">
        <v>5666.8</v>
      </c>
      <c r="CE55" s="21"/>
      <c r="CF55" s="21"/>
      <c r="CG55" s="21">
        <v>300</v>
      </c>
      <c r="CH55" s="21"/>
      <c r="CI55" s="34">
        <f t="shared" si="35"/>
        <v>12806.8</v>
      </c>
      <c r="CJ55" s="32"/>
      <c r="CK55" s="32"/>
      <c r="CL55" s="4"/>
      <c r="CM55" s="4">
        <v>216</v>
      </c>
      <c r="CN55" s="4"/>
      <c r="CO55" s="4"/>
      <c r="CP55" s="4"/>
      <c r="CQ55" s="8"/>
      <c r="CR55" s="8"/>
    </row>
    <row r="56" spans="1:96" ht="12.75" customHeight="1">
      <c r="A56" s="30">
        <v>55</v>
      </c>
      <c r="B56" s="135">
        <v>45620</v>
      </c>
      <c r="C56" s="136" t="s">
        <v>326</v>
      </c>
      <c r="D56" s="136" t="s">
        <v>327</v>
      </c>
      <c r="E56" s="136" t="s">
        <v>328</v>
      </c>
      <c r="F56" s="136" t="s">
        <v>164</v>
      </c>
      <c r="G56" s="136" t="s">
        <v>32</v>
      </c>
      <c r="H56" s="136">
        <v>528</v>
      </c>
      <c r="I56" s="136" t="s">
        <v>9</v>
      </c>
      <c r="J56" s="30"/>
      <c r="K56" s="59">
        <v>22000</v>
      </c>
      <c r="L56" s="59">
        <v>0</v>
      </c>
      <c r="M56" s="59">
        <v>0</v>
      </c>
      <c r="N56" s="59">
        <v>10600</v>
      </c>
      <c r="O56" s="59">
        <v>4350</v>
      </c>
      <c r="P56" s="59">
        <v>0</v>
      </c>
      <c r="Q56" s="59">
        <v>0</v>
      </c>
      <c r="R56" s="59">
        <v>0</v>
      </c>
      <c r="S56" s="59">
        <v>0</v>
      </c>
      <c r="T56" s="59">
        <v>0</v>
      </c>
      <c r="U56" s="59">
        <v>0</v>
      </c>
      <c r="V56" s="59">
        <v>0</v>
      </c>
      <c r="W56" s="59">
        <v>0</v>
      </c>
      <c r="X56" s="59">
        <v>0</v>
      </c>
      <c r="Y56" s="59">
        <v>0</v>
      </c>
      <c r="Z56" s="59">
        <v>0</v>
      </c>
      <c r="AA56" s="59">
        <v>0</v>
      </c>
      <c r="AB56" s="44">
        <f t="shared" si="38"/>
        <v>36950</v>
      </c>
      <c r="AC56" s="44">
        <f t="shared" si="39"/>
        <v>36950</v>
      </c>
      <c r="AD56" s="59">
        <v>0</v>
      </c>
      <c r="AE56" s="59">
        <v>0</v>
      </c>
      <c r="AF56" s="59">
        <v>0</v>
      </c>
      <c r="AG56" s="59">
        <v>0</v>
      </c>
      <c r="AH56" s="59">
        <v>0</v>
      </c>
      <c r="AI56" s="59">
        <v>0</v>
      </c>
      <c r="AJ56" s="21">
        <f t="shared" si="33"/>
        <v>0</v>
      </c>
      <c r="AK56" s="47">
        <f t="shared" si="40"/>
        <v>0</v>
      </c>
      <c r="AL56" s="48">
        <f t="shared" si="41"/>
        <v>0</v>
      </c>
      <c r="AM56" s="48">
        <f t="shared" si="27"/>
        <v>36950</v>
      </c>
      <c r="AN56" s="32">
        <v>100</v>
      </c>
      <c r="AO56" s="59">
        <v>0</v>
      </c>
      <c r="AP56" s="59">
        <v>0</v>
      </c>
      <c r="AQ56" s="59">
        <v>0</v>
      </c>
      <c r="AR56" s="59">
        <v>0</v>
      </c>
      <c r="AS56" s="59">
        <v>0</v>
      </c>
      <c r="AT56" s="59">
        <v>0</v>
      </c>
      <c r="AU56" s="59">
        <v>0</v>
      </c>
      <c r="AV56" s="25">
        <v>0</v>
      </c>
      <c r="AW56" s="59">
        <v>0</v>
      </c>
      <c r="AX56" s="21">
        <v>0</v>
      </c>
      <c r="AY56" s="59">
        <v>0</v>
      </c>
      <c r="AZ56" s="59">
        <v>0</v>
      </c>
      <c r="BA56" s="59">
        <v>0</v>
      </c>
      <c r="BB56" s="28">
        <f t="shared" si="23"/>
        <v>0</v>
      </c>
      <c r="BC56" s="38">
        <f t="shared" si="42"/>
        <v>0</v>
      </c>
      <c r="BD56" s="41">
        <f t="shared" si="43"/>
        <v>36950</v>
      </c>
      <c r="BE56" s="41">
        <f t="shared" si="44"/>
        <v>36950</v>
      </c>
      <c r="BF56" s="32">
        <f t="shared" si="13"/>
        <v>100</v>
      </c>
      <c r="BG56" s="59">
        <v>0</v>
      </c>
      <c r="BH56" s="59">
        <v>0</v>
      </c>
      <c r="BI56" s="59">
        <v>0</v>
      </c>
      <c r="BJ56" s="59">
        <v>0</v>
      </c>
      <c r="BK56" s="59">
        <v>0</v>
      </c>
      <c r="BL56" s="28">
        <f t="shared" si="17"/>
        <v>0</v>
      </c>
      <c r="BM56" s="30"/>
      <c r="BN56" s="30"/>
      <c r="BO56" s="59">
        <v>250</v>
      </c>
      <c r="BP56" s="59">
        <v>3950</v>
      </c>
      <c r="BQ56" s="59">
        <v>0</v>
      </c>
      <c r="BR56" s="59">
        <v>980</v>
      </c>
      <c r="BS56" s="59">
        <v>0</v>
      </c>
      <c r="BT56" s="59">
        <v>106</v>
      </c>
      <c r="BU56" s="59">
        <v>230</v>
      </c>
      <c r="BV56" s="59">
        <v>600</v>
      </c>
      <c r="BW56" s="59">
        <f>1847.5</f>
        <v>1847.5</v>
      </c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34">
        <f t="shared" si="35"/>
        <v>5513.5</v>
      </c>
      <c r="CJ56" s="32"/>
      <c r="CK56" s="32"/>
      <c r="CL56" s="30"/>
      <c r="CM56" s="30"/>
      <c r="CN56" s="30"/>
      <c r="CO56" s="30"/>
      <c r="CP56" s="30"/>
    </row>
    <row r="57" spans="1:96">
      <c r="A57" s="30">
        <v>56</v>
      </c>
      <c r="B57" s="135">
        <v>45603</v>
      </c>
      <c r="C57" s="136" t="s">
        <v>332</v>
      </c>
      <c r="D57" s="136" t="s">
        <v>333</v>
      </c>
      <c r="E57" s="136" t="s">
        <v>151</v>
      </c>
      <c r="F57" s="136" t="s">
        <v>13</v>
      </c>
      <c r="G57" s="136" t="s">
        <v>8</v>
      </c>
      <c r="H57" s="136">
        <v>533</v>
      </c>
      <c r="I57" s="136" t="s">
        <v>9</v>
      </c>
      <c r="J57" s="30"/>
      <c r="K57" s="59">
        <v>26000</v>
      </c>
      <c r="L57" s="59">
        <v>2000</v>
      </c>
      <c r="M57" s="59">
        <v>0</v>
      </c>
      <c r="N57" s="59">
        <v>8100</v>
      </c>
      <c r="O57" s="59">
        <v>2640</v>
      </c>
      <c r="P57" s="59">
        <v>0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9625</v>
      </c>
      <c r="Y57" s="59">
        <v>0</v>
      </c>
      <c r="Z57" s="59">
        <v>0</v>
      </c>
      <c r="AA57" s="59">
        <v>0</v>
      </c>
      <c r="AB57" s="44">
        <f t="shared" si="38"/>
        <v>38740</v>
      </c>
      <c r="AC57" s="44">
        <f t="shared" si="39"/>
        <v>48365</v>
      </c>
      <c r="AD57" s="59">
        <v>0</v>
      </c>
      <c r="AE57" s="59">
        <v>0</v>
      </c>
      <c r="AF57" s="59">
        <v>0</v>
      </c>
      <c r="AG57" s="59">
        <v>0</v>
      </c>
      <c r="AH57" s="59">
        <v>0</v>
      </c>
      <c r="AI57" s="59">
        <v>0</v>
      </c>
      <c r="AJ57" s="21">
        <f t="shared" si="33"/>
        <v>0</v>
      </c>
      <c r="AK57" s="47">
        <f t="shared" si="40"/>
        <v>0</v>
      </c>
      <c r="AL57" s="48">
        <f t="shared" si="41"/>
        <v>0</v>
      </c>
      <c r="AM57" s="48">
        <f t="shared" si="27"/>
        <v>48365</v>
      </c>
      <c r="AN57" s="32">
        <v>700</v>
      </c>
      <c r="AO57" s="59">
        <v>89</v>
      </c>
      <c r="AP57" s="59">
        <v>0</v>
      </c>
      <c r="AQ57" s="59">
        <v>3040</v>
      </c>
      <c r="AR57" s="59">
        <v>0</v>
      </c>
      <c r="AS57" s="59">
        <v>0</v>
      </c>
      <c r="AT57" s="59">
        <v>0</v>
      </c>
      <c r="AU57" s="59">
        <v>0</v>
      </c>
      <c r="AV57" s="160">
        <v>700</v>
      </c>
      <c r="AW57" s="59">
        <v>6.9</v>
      </c>
      <c r="AX57" s="21">
        <f>AV57*AW57</f>
        <v>4830</v>
      </c>
      <c r="AY57" s="59">
        <v>0</v>
      </c>
      <c r="AZ57" s="59">
        <v>0</v>
      </c>
      <c r="BA57" s="59">
        <f>9763.44</f>
        <v>9763.44</v>
      </c>
      <c r="BB57" s="28">
        <f t="shared" si="23"/>
        <v>89</v>
      </c>
      <c r="BC57" s="38">
        <f t="shared" si="42"/>
        <v>65340</v>
      </c>
      <c r="BD57" s="41">
        <f t="shared" si="43"/>
        <v>104080</v>
      </c>
      <c r="BE57" s="41">
        <f t="shared" si="44"/>
        <v>128298.44</v>
      </c>
      <c r="BF57" s="32">
        <f t="shared" si="13"/>
        <v>1400</v>
      </c>
      <c r="BG57" s="59">
        <v>0</v>
      </c>
      <c r="BH57" s="59">
        <v>0</v>
      </c>
      <c r="BI57" s="59">
        <v>0</v>
      </c>
      <c r="BJ57" s="59">
        <v>0</v>
      </c>
      <c r="BK57" s="59">
        <v>0</v>
      </c>
      <c r="BL57" s="28">
        <f t="shared" si="17"/>
        <v>62300</v>
      </c>
      <c r="BM57" s="30"/>
      <c r="BN57" s="30"/>
      <c r="BO57" s="59"/>
      <c r="BP57" s="59">
        <v>3950</v>
      </c>
      <c r="BQ57" s="59">
        <v>0</v>
      </c>
      <c r="BR57" s="59">
        <v>1082.5</v>
      </c>
      <c r="BS57" s="59">
        <v>0</v>
      </c>
      <c r="BT57" s="59">
        <v>2765</v>
      </c>
      <c r="BU57" s="59">
        <v>20</v>
      </c>
      <c r="BV57" s="59">
        <v>450</v>
      </c>
      <c r="BW57" s="59"/>
      <c r="BX57" s="59"/>
      <c r="BY57" s="59"/>
      <c r="BZ57" s="59"/>
      <c r="CA57" s="59"/>
      <c r="CB57" s="59"/>
      <c r="CC57" s="59"/>
      <c r="CD57" s="59">
        <f>5613.75+7602</f>
        <v>13215.75</v>
      </c>
      <c r="CE57" s="59"/>
      <c r="CF57" s="59"/>
      <c r="CG57" s="59"/>
      <c r="CH57" s="59"/>
      <c r="CI57" s="34">
        <f t="shared" si="35"/>
        <v>21483.25</v>
      </c>
      <c r="CJ57" s="32"/>
      <c r="CK57" s="32"/>
      <c r="CL57" s="30"/>
      <c r="CM57" s="30"/>
      <c r="CN57" s="30"/>
      <c r="CO57" s="30"/>
      <c r="CP57" s="30"/>
    </row>
    <row r="58" spans="1:96">
      <c r="A58" s="30">
        <v>57</v>
      </c>
      <c r="B58" s="89">
        <v>45556</v>
      </c>
      <c r="C58" s="90" t="s">
        <v>336</v>
      </c>
      <c r="D58" s="90"/>
      <c r="E58" s="90" t="s">
        <v>153</v>
      </c>
      <c r="F58" s="90" t="s">
        <v>337</v>
      </c>
      <c r="G58" s="90" t="s">
        <v>8</v>
      </c>
      <c r="H58" s="90">
        <v>449</v>
      </c>
      <c r="I58" s="90" t="s">
        <v>9</v>
      </c>
      <c r="J58" s="30"/>
      <c r="K58" s="59">
        <v>11000</v>
      </c>
      <c r="L58" s="59">
        <v>0</v>
      </c>
      <c r="M58" s="59">
        <v>0</v>
      </c>
      <c r="N58" s="59">
        <f>4000</f>
        <v>4000</v>
      </c>
      <c r="O58" s="59">
        <v>2090</v>
      </c>
      <c r="P58" s="59">
        <v>0</v>
      </c>
      <c r="Q58" s="59">
        <v>0</v>
      </c>
      <c r="R58" s="59">
        <v>0</v>
      </c>
      <c r="S58" s="59">
        <v>0</v>
      </c>
      <c r="T58" s="59">
        <v>0</v>
      </c>
      <c r="U58" s="59">
        <v>0</v>
      </c>
      <c r="V58" s="59">
        <v>0</v>
      </c>
      <c r="W58" s="59">
        <v>0</v>
      </c>
      <c r="X58" s="59">
        <v>0</v>
      </c>
      <c r="Y58" s="59">
        <v>0</v>
      </c>
      <c r="Z58" s="59">
        <v>0</v>
      </c>
      <c r="AA58" s="59">
        <v>0</v>
      </c>
      <c r="AB58" s="44">
        <f t="shared" si="38"/>
        <v>17090</v>
      </c>
      <c r="AC58" s="44">
        <f t="shared" si="39"/>
        <v>17090</v>
      </c>
      <c r="AD58" s="59">
        <v>8</v>
      </c>
      <c r="AE58" s="59">
        <v>0</v>
      </c>
      <c r="AF58" s="59">
        <v>0</v>
      </c>
      <c r="AG58" s="59">
        <v>0</v>
      </c>
      <c r="AH58" s="59">
        <v>0</v>
      </c>
      <c r="AI58" s="59">
        <v>0</v>
      </c>
      <c r="AJ58" s="21">
        <f t="shared" si="33"/>
        <v>8</v>
      </c>
      <c r="AK58" s="47">
        <f t="shared" si="40"/>
        <v>2400</v>
      </c>
      <c r="AL58" s="48">
        <f t="shared" si="41"/>
        <v>2400</v>
      </c>
      <c r="AM58" s="48">
        <f t="shared" si="27"/>
        <v>19490</v>
      </c>
      <c r="AN58" s="32">
        <v>300</v>
      </c>
      <c r="AO58" s="59">
        <f>7.8+76</f>
        <v>83.8</v>
      </c>
      <c r="AP58" s="59">
        <v>0</v>
      </c>
      <c r="AQ58" s="59">
        <v>4750</v>
      </c>
      <c r="AR58" s="59">
        <v>0</v>
      </c>
      <c r="AS58" s="59">
        <v>0</v>
      </c>
      <c r="AT58" s="59">
        <v>0</v>
      </c>
      <c r="AU58" s="59">
        <v>0</v>
      </c>
      <c r="AV58" s="160">
        <v>80</v>
      </c>
      <c r="AW58" s="59">
        <v>157.75</v>
      </c>
      <c r="AX58" s="21">
        <f t="shared" ref="AX58:AX73" si="45">AV58*AW58</f>
        <v>12620</v>
      </c>
      <c r="AY58" s="59">
        <v>0</v>
      </c>
      <c r="AZ58" s="59">
        <v>0</v>
      </c>
      <c r="BA58" s="59">
        <v>0</v>
      </c>
      <c r="BB58" s="28">
        <f t="shared" si="23"/>
        <v>83.8</v>
      </c>
      <c r="BC58" s="38">
        <f>(BB58+AJ58)*AN58+AQ58</f>
        <v>32290</v>
      </c>
      <c r="BD58" s="41">
        <f t="shared" si="43"/>
        <v>49380</v>
      </c>
      <c r="BE58" s="41">
        <f t="shared" si="44"/>
        <v>62000</v>
      </c>
      <c r="BF58" s="32">
        <f t="shared" si="13"/>
        <v>380</v>
      </c>
      <c r="BG58" s="59">
        <v>0</v>
      </c>
      <c r="BH58" s="59">
        <v>0</v>
      </c>
      <c r="BI58" s="59">
        <v>0</v>
      </c>
      <c r="BJ58" s="59">
        <v>0</v>
      </c>
      <c r="BK58" s="59">
        <v>0</v>
      </c>
      <c r="BL58" s="28">
        <f t="shared" si="17"/>
        <v>25140</v>
      </c>
      <c r="BM58" s="30"/>
      <c r="BN58" s="30"/>
      <c r="BO58" s="59"/>
      <c r="BP58" s="59">
        <v>1500</v>
      </c>
      <c r="BQ58" s="59">
        <v>0</v>
      </c>
      <c r="BR58" s="59">
        <v>160</v>
      </c>
      <c r="BS58" s="59">
        <v>0</v>
      </c>
      <c r="BT58" s="59">
        <v>0</v>
      </c>
      <c r="BU58" s="59">
        <v>880</v>
      </c>
      <c r="BV58" s="59">
        <v>450</v>
      </c>
      <c r="BW58" s="59">
        <v>28.7</v>
      </c>
      <c r="BX58" s="59"/>
      <c r="BY58" s="59"/>
      <c r="BZ58" s="59"/>
      <c r="CA58" s="59"/>
      <c r="CB58" s="59"/>
      <c r="CC58" s="59"/>
      <c r="CD58" s="59"/>
      <c r="CE58" s="59"/>
      <c r="CF58" s="59"/>
      <c r="CG58" s="59">
        <v>300</v>
      </c>
      <c r="CH58" s="59"/>
      <c r="CI58" s="34">
        <f t="shared" si="35"/>
        <v>5768.7</v>
      </c>
      <c r="CJ58" s="32"/>
      <c r="CK58" s="32"/>
      <c r="CL58" s="30"/>
      <c r="CM58" s="30"/>
      <c r="CN58" s="30"/>
      <c r="CO58" s="30"/>
      <c r="CP58" s="30"/>
    </row>
    <row r="59" spans="1:96">
      <c r="A59" s="65">
        <v>58</v>
      </c>
      <c r="B59" s="135">
        <v>45590</v>
      </c>
      <c r="C59" s="136" t="s">
        <v>338</v>
      </c>
      <c r="D59" s="136" t="s">
        <v>9</v>
      </c>
      <c r="E59" s="136" t="s">
        <v>151</v>
      </c>
      <c r="F59" s="136" t="s">
        <v>13</v>
      </c>
      <c r="G59" s="136" t="s">
        <v>8</v>
      </c>
      <c r="H59" s="136">
        <v>503</v>
      </c>
      <c r="I59" s="136" t="s">
        <v>9</v>
      </c>
      <c r="J59" s="30"/>
      <c r="K59" s="59">
        <f>14293+3500</f>
        <v>17793</v>
      </c>
      <c r="L59" s="59">
        <v>1800</v>
      </c>
      <c r="M59" s="59">
        <v>2500</v>
      </c>
      <c r="N59" s="59">
        <v>8300</v>
      </c>
      <c r="O59" s="59">
        <v>2970</v>
      </c>
      <c r="P59" s="59">
        <v>0</v>
      </c>
      <c r="Q59" s="59">
        <v>0</v>
      </c>
      <c r="R59" s="59">
        <v>0</v>
      </c>
      <c r="S59" s="59">
        <v>0</v>
      </c>
      <c r="T59" s="59">
        <v>0</v>
      </c>
      <c r="U59" s="59">
        <f>1572+400</f>
        <v>1972</v>
      </c>
      <c r="V59" s="59">
        <v>0</v>
      </c>
      <c r="W59" s="59">
        <v>0</v>
      </c>
      <c r="X59" s="59">
        <v>0</v>
      </c>
      <c r="Y59" s="59">
        <v>0</v>
      </c>
      <c r="Z59" s="59">
        <v>0</v>
      </c>
      <c r="AA59" s="59">
        <v>0</v>
      </c>
      <c r="AB59" s="44">
        <f t="shared" si="38"/>
        <v>33363</v>
      </c>
      <c r="AC59" s="44">
        <f t="shared" ref="AC59:AC78" si="46">AB59+AA59+Z59+Y59+X59+V59+U59</f>
        <v>35335</v>
      </c>
      <c r="AD59" s="59">
        <v>30</v>
      </c>
      <c r="AE59" s="59">
        <v>0</v>
      </c>
      <c r="AF59" s="59">
        <v>0</v>
      </c>
      <c r="AG59" s="59">
        <f>500</f>
        <v>500</v>
      </c>
      <c r="AH59" s="59">
        <v>0</v>
      </c>
      <c r="AI59" s="59">
        <f>1800+500</f>
        <v>2300</v>
      </c>
      <c r="AJ59" s="21">
        <f t="shared" si="33"/>
        <v>30</v>
      </c>
      <c r="AK59" s="47">
        <f t="shared" si="40"/>
        <v>12000</v>
      </c>
      <c r="AL59" s="48">
        <f t="shared" si="41"/>
        <v>14800</v>
      </c>
      <c r="AM59" s="48">
        <f>AL59+AC59</f>
        <v>50135</v>
      </c>
      <c r="AN59" s="32">
        <v>400</v>
      </c>
      <c r="AO59" s="59">
        <f>93</f>
        <v>93</v>
      </c>
      <c r="AP59" s="59">
        <v>0</v>
      </c>
      <c r="AQ59" s="59">
        <v>4690</v>
      </c>
      <c r="AR59" s="59">
        <v>0</v>
      </c>
      <c r="AS59" s="59">
        <v>0</v>
      </c>
      <c r="AT59" s="59">
        <v>0</v>
      </c>
      <c r="AU59" s="59">
        <v>0</v>
      </c>
      <c r="AV59" s="160">
        <v>6</v>
      </c>
      <c r="AW59" s="59">
        <v>123</v>
      </c>
      <c r="AX59" s="21">
        <f t="shared" si="45"/>
        <v>738</v>
      </c>
      <c r="AY59" s="59">
        <v>0</v>
      </c>
      <c r="AZ59" s="59">
        <v>0</v>
      </c>
      <c r="BA59" s="59">
        <v>0</v>
      </c>
      <c r="BB59" s="28">
        <f t="shared" si="23"/>
        <v>93</v>
      </c>
      <c r="BC59" s="38">
        <f t="shared" si="42"/>
        <v>53890</v>
      </c>
      <c r="BD59" s="41">
        <f t="shared" si="43"/>
        <v>87253</v>
      </c>
      <c r="BE59" s="41">
        <f>(BC59+BA59+AY59+AT59)+(AI59+AH59+AC59)+AX59+AZ59+AS59+AR59+AG59+AF59</f>
        <v>92763</v>
      </c>
      <c r="BF59" s="32">
        <f t="shared" si="13"/>
        <v>406</v>
      </c>
      <c r="BG59" s="59">
        <v>0</v>
      </c>
      <c r="BH59" s="59">
        <v>0</v>
      </c>
      <c r="BI59" s="59">
        <v>0</v>
      </c>
      <c r="BJ59" s="59">
        <v>0</v>
      </c>
      <c r="BK59" s="59">
        <v>0</v>
      </c>
      <c r="BL59" s="28">
        <f t="shared" si="17"/>
        <v>37200</v>
      </c>
      <c r="BM59" s="30"/>
      <c r="BN59" s="30"/>
      <c r="BO59" s="59">
        <v>293</v>
      </c>
      <c r="BP59" s="59">
        <v>3950</v>
      </c>
      <c r="BQ59" s="59">
        <v>0</v>
      </c>
      <c r="BR59" s="59">
        <f>300+1040</f>
        <v>1340</v>
      </c>
      <c r="BS59" s="59">
        <v>0</v>
      </c>
      <c r="BT59" s="59">
        <v>0</v>
      </c>
      <c r="BU59" s="59">
        <v>1380</v>
      </c>
      <c r="BV59" s="59">
        <v>450</v>
      </c>
      <c r="BW59" s="59"/>
      <c r="BX59" s="59"/>
      <c r="BY59" s="59"/>
      <c r="BZ59" s="59"/>
      <c r="CA59" s="59"/>
      <c r="CB59" s="59"/>
      <c r="CC59" s="59"/>
      <c r="CD59" s="59">
        <f>2405.85+3258</f>
        <v>5663.85</v>
      </c>
      <c r="CE59" s="59"/>
      <c r="CF59" s="59"/>
      <c r="CG59" s="59">
        <v>420</v>
      </c>
      <c r="CH59" s="59">
        <v>340</v>
      </c>
      <c r="CI59" s="34">
        <f t="shared" si="35"/>
        <v>13836.85</v>
      </c>
      <c r="CJ59" s="32"/>
      <c r="CK59" s="32"/>
      <c r="CL59" s="30"/>
      <c r="CM59" s="30"/>
      <c r="CN59" s="30"/>
      <c r="CO59" s="30"/>
      <c r="CP59" s="30"/>
    </row>
    <row r="60" spans="1:96">
      <c r="A60" s="30">
        <v>59</v>
      </c>
      <c r="B60" s="135">
        <v>45638</v>
      </c>
      <c r="C60" s="136" t="s">
        <v>342</v>
      </c>
      <c r="D60" s="136" t="s">
        <v>9</v>
      </c>
      <c r="E60" s="136" t="s">
        <v>151</v>
      </c>
      <c r="F60" s="136" t="s">
        <v>13</v>
      </c>
      <c r="G60" s="136" t="s">
        <v>8</v>
      </c>
      <c r="H60" s="136">
        <v>545</v>
      </c>
      <c r="I60" s="136" t="s">
        <v>9</v>
      </c>
      <c r="J60" s="30"/>
      <c r="K60" s="59">
        <f>12000-2325</f>
        <v>9675</v>
      </c>
      <c r="L60" s="59">
        <v>1200</v>
      </c>
      <c r="M60" s="59">
        <v>0</v>
      </c>
      <c r="N60" s="59">
        <f>3500+3800</f>
        <v>7300</v>
      </c>
      <c r="O60" s="59">
        <v>2750</v>
      </c>
      <c r="P60" s="59">
        <v>0</v>
      </c>
      <c r="Q60" s="59">
        <v>0</v>
      </c>
      <c r="R60" s="59">
        <v>0</v>
      </c>
      <c r="S60" s="59">
        <v>0</v>
      </c>
      <c r="T60" s="59">
        <v>0</v>
      </c>
      <c r="U60" s="59">
        <v>0</v>
      </c>
      <c r="V60" s="59">
        <v>0</v>
      </c>
      <c r="W60" s="59">
        <v>0</v>
      </c>
      <c r="X60" s="59">
        <v>0</v>
      </c>
      <c r="Y60" s="59">
        <v>0</v>
      </c>
      <c r="Z60" s="59">
        <v>0</v>
      </c>
      <c r="AA60" s="59">
        <v>0</v>
      </c>
      <c r="AB60" s="44">
        <f t="shared" si="38"/>
        <v>20925</v>
      </c>
      <c r="AC60" s="44">
        <f t="shared" si="46"/>
        <v>20925</v>
      </c>
      <c r="AD60" s="59">
        <f>27+22</f>
        <v>49</v>
      </c>
      <c r="AE60" s="59">
        <v>0</v>
      </c>
      <c r="AF60" s="59">
        <v>0</v>
      </c>
      <c r="AG60" s="59">
        <v>0</v>
      </c>
      <c r="AH60" s="59">
        <v>0</v>
      </c>
      <c r="AI60" s="59">
        <v>0</v>
      </c>
      <c r="AJ60" s="21">
        <f t="shared" si="33"/>
        <v>49</v>
      </c>
      <c r="AK60" s="47">
        <f t="shared" si="40"/>
        <v>23520</v>
      </c>
      <c r="AL60" s="48">
        <f t="shared" si="41"/>
        <v>23520</v>
      </c>
      <c r="AM60" s="48">
        <f t="shared" si="27"/>
        <v>44445</v>
      </c>
      <c r="AN60" s="32">
        <v>480</v>
      </c>
      <c r="AO60" s="59">
        <v>105</v>
      </c>
      <c r="AP60" s="59">
        <v>8</v>
      </c>
      <c r="AQ60" s="59">
        <v>6500</v>
      </c>
      <c r="AR60" s="59">
        <v>0</v>
      </c>
      <c r="AS60" s="59">
        <v>0</v>
      </c>
      <c r="AT60" s="59">
        <v>0</v>
      </c>
      <c r="AU60" s="59">
        <v>0</v>
      </c>
      <c r="AV60" s="160">
        <v>0</v>
      </c>
      <c r="AW60" s="59">
        <v>0</v>
      </c>
      <c r="AX60" s="21">
        <f t="shared" si="45"/>
        <v>0</v>
      </c>
      <c r="AY60" s="59">
        <v>0</v>
      </c>
      <c r="AZ60" s="59">
        <v>0</v>
      </c>
      <c r="BA60" s="59">
        <v>0</v>
      </c>
      <c r="BB60" s="28">
        <f t="shared" si="23"/>
        <v>113</v>
      </c>
      <c r="BC60" s="38">
        <f t="shared" si="42"/>
        <v>84260</v>
      </c>
      <c r="BD60" s="41">
        <f t="shared" si="43"/>
        <v>105185</v>
      </c>
      <c r="BE60" s="41">
        <f t="shared" si="44"/>
        <v>105185</v>
      </c>
      <c r="BF60" s="32">
        <f t="shared" si="13"/>
        <v>480</v>
      </c>
      <c r="BG60" s="59">
        <v>0</v>
      </c>
      <c r="BH60" s="59">
        <v>0</v>
      </c>
      <c r="BI60" s="59">
        <v>0</v>
      </c>
      <c r="BJ60" s="59">
        <v>0</v>
      </c>
      <c r="BK60" s="59">
        <v>0</v>
      </c>
      <c r="BL60" s="28">
        <f t="shared" si="17"/>
        <v>50400</v>
      </c>
      <c r="BM60" s="30"/>
      <c r="BN60" s="30"/>
      <c r="BO60" s="59"/>
      <c r="BP60" s="59">
        <v>3950</v>
      </c>
      <c r="BQ60" s="59">
        <v>0</v>
      </c>
      <c r="BR60" s="59">
        <f>307.5</f>
        <v>307.5</v>
      </c>
      <c r="BS60" s="59">
        <v>0</v>
      </c>
      <c r="BT60" s="59">
        <v>1777.5</v>
      </c>
      <c r="BU60" s="59">
        <v>0</v>
      </c>
      <c r="BV60" s="59">
        <v>450</v>
      </c>
      <c r="BW60" s="59"/>
      <c r="BX60" s="59"/>
      <c r="BY60" s="59"/>
      <c r="BZ60" s="59"/>
      <c r="CA60" s="59"/>
      <c r="CB60" s="59"/>
      <c r="CC60" s="59"/>
      <c r="CD60" s="59">
        <v>9854.9599999999991</v>
      </c>
      <c r="CE60" s="59"/>
      <c r="CF60" s="59"/>
      <c r="CG60" s="59"/>
      <c r="CH60" s="59"/>
      <c r="CI60" s="34">
        <f t="shared" si="35"/>
        <v>17839.96</v>
      </c>
      <c r="CJ60" s="32"/>
      <c r="CK60" s="32"/>
      <c r="CL60" s="30"/>
      <c r="CM60" s="30"/>
      <c r="CN60" s="30"/>
      <c r="CO60" s="30"/>
      <c r="CP60" s="30"/>
    </row>
    <row r="61" spans="1:96">
      <c r="A61" s="134">
        <v>60</v>
      </c>
      <c r="B61" s="161">
        <v>45647</v>
      </c>
      <c r="C61" s="151" t="s">
        <v>350</v>
      </c>
      <c r="D61" s="151" t="s">
        <v>351</v>
      </c>
      <c r="E61" s="151" t="s">
        <v>151</v>
      </c>
      <c r="F61" s="151" t="s">
        <v>13</v>
      </c>
      <c r="G61" s="151" t="s">
        <v>8</v>
      </c>
      <c r="H61" s="151">
        <v>515</v>
      </c>
      <c r="I61" s="151" t="s">
        <v>9</v>
      </c>
      <c r="J61" s="30"/>
      <c r="K61" s="59">
        <v>20000</v>
      </c>
      <c r="L61" s="59">
        <v>0</v>
      </c>
      <c r="M61" s="125">
        <v>0</v>
      </c>
      <c r="N61" s="59">
        <f>2700+5500</f>
        <v>8200</v>
      </c>
      <c r="O61" s="59">
        <v>3520</v>
      </c>
      <c r="P61" s="59">
        <v>0</v>
      </c>
      <c r="Q61" s="59">
        <f>55100+500</f>
        <v>55600</v>
      </c>
      <c r="R61" s="59">
        <v>0</v>
      </c>
      <c r="S61" s="59">
        <v>0</v>
      </c>
      <c r="T61" s="59">
        <v>0</v>
      </c>
      <c r="U61" s="59">
        <v>4000</v>
      </c>
      <c r="V61" s="59">
        <v>3000</v>
      </c>
      <c r="W61" s="59">
        <v>0</v>
      </c>
      <c r="X61" s="59">
        <v>0</v>
      </c>
      <c r="Y61" s="59">
        <v>0</v>
      </c>
      <c r="Z61" s="59">
        <v>0</v>
      </c>
      <c r="AA61" s="59">
        <v>0</v>
      </c>
      <c r="AB61" s="44">
        <f t="shared" si="38"/>
        <v>87320</v>
      </c>
      <c r="AC61" s="44">
        <f t="shared" si="46"/>
        <v>94320</v>
      </c>
      <c r="AD61" s="59">
        <f>29+22</f>
        <v>51</v>
      </c>
      <c r="AE61" s="59">
        <v>32</v>
      </c>
      <c r="AF61" s="59">
        <v>0</v>
      </c>
      <c r="AG61" s="59">
        <v>0</v>
      </c>
      <c r="AH61" s="59">
        <v>0</v>
      </c>
      <c r="AI61" s="59">
        <v>0</v>
      </c>
      <c r="AJ61" s="21">
        <f t="shared" si="33"/>
        <v>83</v>
      </c>
      <c r="AK61" s="47">
        <f t="shared" si="40"/>
        <v>38180</v>
      </c>
      <c r="AL61" s="48">
        <f t="shared" si="41"/>
        <v>38180</v>
      </c>
      <c r="AM61" s="48">
        <f t="shared" si="27"/>
        <v>132500</v>
      </c>
      <c r="AN61" s="32">
        <v>460</v>
      </c>
      <c r="AO61" s="59">
        <f>99+10</f>
        <v>109</v>
      </c>
      <c r="AP61" s="59">
        <v>0</v>
      </c>
      <c r="AQ61" s="59">
        <f>4750</f>
        <v>4750</v>
      </c>
      <c r="AR61" s="59">
        <v>0</v>
      </c>
      <c r="AS61" s="59">
        <v>0</v>
      </c>
      <c r="AT61" s="59">
        <v>0</v>
      </c>
      <c r="AU61" s="59">
        <v>0</v>
      </c>
      <c r="AV61" s="160">
        <v>0</v>
      </c>
      <c r="AW61" s="59">
        <v>0</v>
      </c>
      <c r="AX61" s="21">
        <f t="shared" si="45"/>
        <v>0</v>
      </c>
      <c r="AY61" s="59">
        <v>0</v>
      </c>
      <c r="AZ61" s="59">
        <v>0</v>
      </c>
      <c r="BA61" s="59">
        <v>0</v>
      </c>
      <c r="BB61" s="28">
        <f t="shared" si="23"/>
        <v>109</v>
      </c>
      <c r="BC61" s="38">
        <f t="shared" si="42"/>
        <v>93070</v>
      </c>
      <c r="BD61" s="41">
        <f t="shared" si="43"/>
        <v>180390</v>
      </c>
      <c r="BE61" s="41">
        <f t="shared" si="44"/>
        <v>187390</v>
      </c>
      <c r="BF61" s="32">
        <f t="shared" si="13"/>
        <v>460</v>
      </c>
      <c r="BG61" s="59">
        <v>0</v>
      </c>
      <c r="BH61" s="59">
        <v>0</v>
      </c>
      <c r="BI61" s="59">
        <v>0</v>
      </c>
      <c r="BJ61" s="59">
        <v>0</v>
      </c>
      <c r="BK61" s="59">
        <v>0</v>
      </c>
      <c r="BL61" s="28">
        <f t="shared" si="17"/>
        <v>50140</v>
      </c>
      <c r="BM61" s="30"/>
      <c r="BN61" s="30"/>
      <c r="BO61" s="59"/>
      <c r="BP61" s="59">
        <v>3950</v>
      </c>
      <c r="BQ61" s="59">
        <v>0</v>
      </c>
      <c r="BR61" s="59">
        <v>850</v>
      </c>
      <c r="BS61" s="59">
        <v>0</v>
      </c>
      <c r="BT61" s="59">
        <v>0</v>
      </c>
      <c r="BU61" s="59">
        <v>300</v>
      </c>
      <c r="BV61" s="59">
        <v>450</v>
      </c>
      <c r="BW61" s="59"/>
      <c r="BX61" s="59"/>
      <c r="BY61" s="59">
        <f>367.11+660+200+1500+4875+300</f>
        <v>7902.1100000000006</v>
      </c>
      <c r="BZ61" s="59"/>
      <c r="CA61" s="59"/>
      <c r="CB61" s="59"/>
      <c r="CC61" s="59"/>
      <c r="CD61" s="59">
        <f>4001.77+4995.6</f>
        <v>8997.3700000000008</v>
      </c>
      <c r="CE61" s="59"/>
      <c r="CF61" s="59"/>
      <c r="CG61" s="59"/>
      <c r="CH61" s="59">
        <f>1040+4100</f>
        <v>5140</v>
      </c>
      <c r="CI61" s="34">
        <f t="shared" si="35"/>
        <v>29089.480000000003</v>
      </c>
      <c r="CJ61" s="32"/>
      <c r="CK61" s="32"/>
      <c r="CL61" s="30"/>
      <c r="CM61" s="30"/>
      <c r="CN61" s="30"/>
      <c r="CO61" s="30"/>
      <c r="CP61" s="30"/>
    </row>
    <row r="62" spans="1:96">
      <c r="A62" s="30">
        <v>61</v>
      </c>
      <c r="B62" s="161">
        <v>45636</v>
      </c>
      <c r="C62" s="151" t="s">
        <v>352</v>
      </c>
      <c r="D62" s="151" t="s">
        <v>28</v>
      </c>
      <c r="E62" s="151" t="s">
        <v>151</v>
      </c>
      <c r="F62" s="151" t="s">
        <v>24</v>
      </c>
      <c r="G62" s="151" t="s">
        <v>8</v>
      </c>
      <c r="H62" s="151">
        <v>514</v>
      </c>
      <c r="I62" s="151" t="s">
        <v>9</v>
      </c>
      <c r="J62" s="30"/>
      <c r="K62" s="59">
        <v>18000</v>
      </c>
      <c r="L62" s="59">
        <v>0</v>
      </c>
      <c r="M62" s="59">
        <v>0</v>
      </c>
      <c r="N62" s="59">
        <f>4000+4000+2000</f>
        <v>10000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1600</v>
      </c>
      <c r="V62" s="59">
        <v>0</v>
      </c>
      <c r="W62" s="59">
        <v>0</v>
      </c>
      <c r="X62" s="59">
        <v>0</v>
      </c>
      <c r="Y62" s="59">
        <v>300</v>
      </c>
      <c r="Z62" s="59">
        <v>0</v>
      </c>
      <c r="AA62" s="59">
        <v>0</v>
      </c>
      <c r="AB62" s="44">
        <f t="shared" si="38"/>
        <v>28000</v>
      </c>
      <c r="AC62" s="44">
        <f t="shared" si="46"/>
        <v>29900</v>
      </c>
      <c r="AD62" s="59">
        <f>38+20</f>
        <v>58</v>
      </c>
      <c r="AE62" s="59">
        <v>16.489999999999998</v>
      </c>
      <c r="AF62" s="59">
        <v>0</v>
      </c>
      <c r="AG62" s="59">
        <v>0</v>
      </c>
      <c r="AH62" s="59">
        <v>0</v>
      </c>
      <c r="AI62" s="59">
        <v>0</v>
      </c>
      <c r="AJ62" s="21">
        <f t="shared" si="33"/>
        <v>74.489999999999995</v>
      </c>
      <c r="AK62" s="47">
        <f t="shared" si="40"/>
        <v>18622.5</v>
      </c>
      <c r="AL62" s="48">
        <f t="shared" si="41"/>
        <v>18622.5</v>
      </c>
      <c r="AM62" s="48">
        <f t="shared" si="27"/>
        <v>48522.5</v>
      </c>
      <c r="AN62" s="32">
        <v>250</v>
      </c>
      <c r="AO62" s="59">
        <v>100</v>
      </c>
      <c r="AP62" s="59">
        <v>10</v>
      </c>
      <c r="AQ62" s="59">
        <v>0</v>
      </c>
      <c r="AR62" s="59">
        <v>0</v>
      </c>
      <c r="AS62" s="59">
        <v>0</v>
      </c>
      <c r="AT62" s="59">
        <v>0</v>
      </c>
      <c r="AU62" s="59">
        <v>0</v>
      </c>
      <c r="AV62" s="160">
        <v>97</v>
      </c>
      <c r="AW62" s="59">
        <v>77.760824740000004</v>
      </c>
      <c r="AX62" s="21">
        <f>AV62*AW62</f>
        <v>7542.7999997800007</v>
      </c>
      <c r="AY62" s="59">
        <v>0</v>
      </c>
      <c r="AZ62" s="59">
        <v>0</v>
      </c>
      <c r="BA62" s="59">
        <v>0</v>
      </c>
      <c r="BB62" s="28">
        <f t="shared" si="23"/>
        <v>110</v>
      </c>
      <c r="BC62" s="38">
        <f t="shared" si="42"/>
        <v>46122.5</v>
      </c>
      <c r="BD62" s="41">
        <f t="shared" si="43"/>
        <v>74122.5</v>
      </c>
      <c r="BE62" s="41">
        <f>(BC62+BA62+AY62+AT62)+(AI62+AH62+AC62)+AX62+AZ62+AS62+AR62+AG62+AF62</f>
        <v>83565.299999780007</v>
      </c>
      <c r="BF62" s="32">
        <f t="shared" si="13"/>
        <v>347</v>
      </c>
      <c r="BG62" s="59">
        <v>0</v>
      </c>
      <c r="BH62" s="59">
        <v>0</v>
      </c>
      <c r="BI62" s="59">
        <f>BC62*10%</f>
        <v>4612.25</v>
      </c>
      <c r="BJ62" s="59">
        <v>0</v>
      </c>
      <c r="BK62" s="59">
        <v>0</v>
      </c>
      <c r="BL62" s="28">
        <f t="shared" si="17"/>
        <v>25000</v>
      </c>
      <c r="BM62" s="30"/>
      <c r="BN62" s="30"/>
      <c r="BO62" s="59">
        <v>230</v>
      </c>
      <c r="BP62" s="59">
        <v>5450</v>
      </c>
      <c r="BQ62" s="59">
        <v>0</v>
      </c>
      <c r="BR62" s="59">
        <f>620+825</f>
        <v>1445</v>
      </c>
      <c r="BS62" s="59">
        <v>0</v>
      </c>
      <c r="BT62" s="59">
        <v>212.5</v>
      </c>
      <c r="BU62" s="59">
        <v>0</v>
      </c>
      <c r="BV62" s="59">
        <v>450</v>
      </c>
      <c r="BW62" s="59"/>
      <c r="BX62" s="59"/>
      <c r="BY62" s="59"/>
      <c r="BZ62" s="59"/>
      <c r="CA62" s="59"/>
      <c r="CB62" s="59"/>
      <c r="CC62" s="59"/>
      <c r="CD62" s="59">
        <v>4927.4799999999996</v>
      </c>
      <c r="CE62" s="59"/>
      <c r="CF62" s="59"/>
      <c r="CG62" s="59"/>
      <c r="CH62" s="59"/>
      <c r="CI62" s="34">
        <f t="shared" si="35"/>
        <v>11214.98</v>
      </c>
      <c r="CJ62" s="32"/>
      <c r="CK62" s="32"/>
      <c r="CL62" s="30"/>
      <c r="CM62" s="30"/>
      <c r="CN62" s="30"/>
      <c r="CO62" s="30"/>
      <c r="CP62" s="30"/>
    </row>
    <row r="63" spans="1:96">
      <c r="A63" s="30">
        <v>62</v>
      </c>
      <c r="B63" s="135">
        <v>45643</v>
      </c>
      <c r="C63" s="136" t="s">
        <v>339</v>
      </c>
      <c r="D63" s="136" t="s">
        <v>353</v>
      </c>
      <c r="E63" s="136" t="s">
        <v>151</v>
      </c>
      <c r="F63" s="136" t="s">
        <v>24</v>
      </c>
      <c r="G63" s="136" t="s">
        <v>8</v>
      </c>
      <c r="H63" s="136">
        <v>480</v>
      </c>
      <c r="I63" s="136" t="s">
        <v>9</v>
      </c>
      <c r="J63" s="30"/>
      <c r="K63" s="59">
        <v>10000</v>
      </c>
      <c r="L63" s="59">
        <v>0</v>
      </c>
      <c r="M63" s="59">
        <v>1500</v>
      </c>
      <c r="N63" s="59">
        <v>5500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44">
        <f t="shared" si="38"/>
        <v>17000</v>
      </c>
      <c r="AC63" s="44">
        <f t="shared" si="46"/>
        <v>17000</v>
      </c>
      <c r="AD63" s="59">
        <v>25</v>
      </c>
      <c r="AE63" s="59">
        <v>0</v>
      </c>
      <c r="AF63" s="59">
        <v>0</v>
      </c>
      <c r="AG63" s="59">
        <v>0</v>
      </c>
      <c r="AH63" s="59">
        <v>0</v>
      </c>
      <c r="AI63" s="59">
        <v>0</v>
      </c>
      <c r="AJ63" s="21">
        <f t="shared" si="33"/>
        <v>25</v>
      </c>
      <c r="AK63" s="47">
        <f t="shared" si="40"/>
        <v>12500</v>
      </c>
      <c r="AL63" s="48">
        <f t="shared" si="41"/>
        <v>12500</v>
      </c>
      <c r="AM63" s="48">
        <f t="shared" si="27"/>
        <v>29500</v>
      </c>
      <c r="AN63" s="32">
        <v>500</v>
      </c>
      <c r="AO63" s="59">
        <v>99</v>
      </c>
      <c r="AP63" s="59">
        <v>0</v>
      </c>
      <c r="AQ63" s="59">
        <v>0</v>
      </c>
      <c r="AR63" s="59">
        <v>0</v>
      </c>
      <c r="AS63" s="59">
        <v>0</v>
      </c>
      <c r="AT63" s="59">
        <v>0</v>
      </c>
      <c r="AU63" s="59">
        <v>0</v>
      </c>
      <c r="AV63" s="160">
        <v>0</v>
      </c>
      <c r="AW63" s="59">
        <v>0</v>
      </c>
      <c r="AX63" s="21">
        <f t="shared" si="45"/>
        <v>0</v>
      </c>
      <c r="AY63" s="59">
        <v>0</v>
      </c>
      <c r="AZ63" s="59">
        <v>0</v>
      </c>
      <c r="BA63" s="59">
        <v>0</v>
      </c>
      <c r="BB63" s="28">
        <f t="shared" si="23"/>
        <v>99</v>
      </c>
      <c r="BC63" s="38">
        <f t="shared" si="42"/>
        <v>62000</v>
      </c>
      <c r="BD63" s="41">
        <f t="shared" si="43"/>
        <v>79000</v>
      </c>
      <c r="BE63" s="41">
        <f t="shared" si="44"/>
        <v>79000</v>
      </c>
      <c r="BF63" s="32">
        <f t="shared" si="13"/>
        <v>500</v>
      </c>
      <c r="BG63" s="59">
        <v>0</v>
      </c>
      <c r="BH63" s="59">
        <v>0</v>
      </c>
      <c r="BI63" s="59">
        <v>0</v>
      </c>
      <c r="BJ63" s="59">
        <v>0</v>
      </c>
      <c r="BK63" s="59">
        <v>0</v>
      </c>
      <c r="BL63" s="28">
        <f t="shared" si="17"/>
        <v>49500</v>
      </c>
      <c r="BM63" s="30"/>
      <c r="BN63" s="30"/>
      <c r="BO63" s="59"/>
      <c r="BP63" s="59">
        <v>5450</v>
      </c>
      <c r="BQ63" s="59">
        <v>0</v>
      </c>
      <c r="BR63" s="59">
        <f>1592.5+280</f>
        <v>1872.5</v>
      </c>
      <c r="BS63" s="59">
        <v>0</v>
      </c>
      <c r="BT63" s="59">
        <v>1325</v>
      </c>
      <c r="BU63" s="59">
        <v>0</v>
      </c>
      <c r="BV63" s="59">
        <v>450</v>
      </c>
      <c r="BW63" s="59"/>
      <c r="BX63" s="59"/>
      <c r="BY63" s="59"/>
      <c r="BZ63" s="59"/>
      <c r="CA63" s="59"/>
      <c r="CB63" s="59"/>
      <c r="CC63" s="59"/>
      <c r="CD63" s="59">
        <f>4349.75+5430</f>
        <v>9779.75</v>
      </c>
      <c r="CE63" s="59"/>
      <c r="CF63" s="59"/>
      <c r="CG63" s="59"/>
      <c r="CH63" s="59"/>
      <c r="CI63" s="34">
        <f t="shared" si="35"/>
        <v>18877.25</v>
      </c>
      <c r="CJ63" s="32"/>
      <c r="CK63" s="32"/>
      <c r="CL63" s="30"/>
      <c r="CM63" s="30"/>
      <c r="CN63" s="30"/>
      <c r="CO63" s="30"/>
      <c r="CP63" s="30"/>
    </row>
    <row r="64" spans="1:96">
      <c r="A64" s="30">
        <v>63</v>
      </c>
      <c r="B64" s="135">
        <v>45640</v>
      </c>
      <c r="C64" s="136" t="s">
        <v>354</v>
      </c>
      <c r="D64" s="136" t="s">
        <v>354</v>
      </c>
      <c r="E64" s="136" t="s">
        <v>154</v>
      </c>
      <c r="F64" s="136" t="s">
        <v>13</v>
      </c>
      <c r="G64" s="136" t="s">
        <v>8</v>
      </c>
      <c r="H64" s="136">
        <v>471</v>
      </c>
      <c r="I64" s="136" t="s">
        <v>9</v>
      </c>
      <c r="J64" s="30">
        <v>39583</v>
      </c>
      <c r="K64" s="59">
        <v>30083</v>
      </c>
      <c r="L64" s="59">
        <v>0</v>
      </c>
      <c r="M64" s="59">
        <v>1800</v>
      </c>
      <c r="N64" s="59">
        <v>7700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v>0</v>
      </c>
      <c r="U64" s="59">
        <v>0</v>
      </c>
      <c r="V64" s="59">
        <v>0</v>
      </c>
      <c r="W64" s="59">
        <v>0</v>
      </c>
      <c r="X64" s="59">
        <v>0</v>
      </c>
      <c r="Y64" s="59">
        <v>0</v>
      </c>
      <c r="Z64" s="59">
        <v>0</v>
      </c>
      <c r="AA64" s="59">
        <v>0</v>
      </c>
      <c r="AB64" s="44">
        <f t="shared" si="38"/>
        <v>39583</v>
      </c>
      <c r="AC64" s="44">
        <f t="shared" si="46"/>
        <v>39583</v>
      </c>
      <c r="AD64" s="59">
        <f>25+15</f>
        <v>40</v>
      </c>
      <c r="AE64" s="59">
        <v>40</v>
      </c>
      <c r="AF64" s="59">
        <v>0</v>
      </c>
      <c r="AG64" s="59">
        <v>0</v>
      </c>
      <c r="AH64" s="59">
        <v>0</v>
      </c>
      <c r="AI64" s="59">
        <v>0</v>
      </c>
      <c r="AJ64" s="21">
        <f t="shared" si="33"/>
        <v>80</v>
      </c>
      <c r="AK64" s="47">
        <f t="shared" si="40"/>
        <v>80000</v>
      </c>
      <c r="AL64" s="48">
        <f t="shared" si="41"/>
        <v>80000</v>
      </c>
      <c r="AM64" s="48">
        <f t="shared" si="27"/>
        <v>119583</v>
      </c>
      <c r="AN64" s="32">
        <v>1000</v>
      </c>
      <c r="AO64" s="59">
        <f>90+45+2.55</f>
        <v>137.55000000000001</v>
      </c>
      <c r="AP64" s="59">
        <v>0</v>
      </c>
      <c r="AQ64" s="59">
        <v>13500</v>
      </c>
      <c r="AR64" s="59">
        <v>0</v>
      </c>
      <c r="AS64" s="59">
        <v>0</v>
      </c>
      <c r="AT64" s="59">
        <v>0</v>
      </c>
      <c r="AU64" s="59">
        <v>0</v>
      </c>
      <c r="AV64" s="160">
        <v>0</v>
      </c>
      <c r="AW64" s="59">
        <v>0</v>
      </c>
      <c r="AX64" s="21">
        <f t="shared" si="45"/>
        <v>0</v>
      </c>
      <c r="AY64" s="59">
        <v>0</v>
      </c>
      <c r="AZ64" s="59">
        <v>0</v>
      </c>
      <c r="BA64" s="59">
        <v>0</v>
      </c>
      <c r="BB64" s="28">
        <f t="shared" si="23"/>
        <v>137.55000000000001</v>
      </c>
      <c r="BC64" s="38">
        <f t="shared" si="42"/>
        <v>231050</v>
      </c>
      <c r="BD64" s="41">
        <f t="shared" si="43"/>
        <v>270633</v>
      </c>
      <c r="BE64" s="41">
        <f t="shared" si="44"/>
        <v>270633</v>
      </c>
      <c r="BF64" s="32">
        <f t="shared" ref="BF64:BF83" si="47">AV64+AN64</f>
        <v>1000</v>
      </c>
      <c r="BG64" s="59">
        <v>0</v>
      </c>
      <c r="BH64" s="59">
        <v>0</v>
      </c>
      <c r="BI64" s="59">
        <v>0</v>
      </c>
      <c r="BJ64" s="59">
        <v>0</v>
      </c>
      <c r="BK64" s="59">
        <v>0</v>
      </c>
      <c r="BL64" s="28">
        <f t="shared" si="17"/>
        <v>137550</v>
      </c>
      <c r="BM64" s="30"/>
      <c r="BN64" s="30"/>
      <c r="BO64" s="59"/>
      <c r="BP64" s="59">
        <v>3950</v>
      </c>
      <c r="BQ64" s="59">
        <v>0</v>
      </c>
      <c r="BR64" s="59">
        <v>1592.5</v>
      </c>
      <c r="BS64" s="59">
        <v>0</v>
      </c>
      <c r="BT64" s="59">
        <f>450+185</f>
        <v>635</v>
      </c>
      <c r="BU64" s="59">
        <v>0</v>
      </c>
      <c r="BV64" s="59">
        <v>450</v>
      </c>
      <c r="BW64" s="59"/>
      <c r="BX64" s="59"/>
      <c r="BY64" s="59"/>
      <c r="BZ64" s="59"/>
      <c r="CA64" s="59"/>
      <c r="CB64" s="59"/>
      <c r="CC64" s="59"/>
      <c r="CD64" s="59">
        <f>8849.92+10860</f>
        <v>19709.919999999998</v>
      </c>
      <c r="CE64" s="59"/>
      <c r="CF64" s="59"/>
      <c r="CG64" s="59"/>
      <c r="CH64" s="59"/>
      <c r="CI64" s="34">
        <f t="shared" si="35"/>
        <v>27837.42</v>
      </c>
      <c r="CJ64" s="32"/>
      <c r="CK64" s="32"/>
      <c r="CL64" s="30"/>
      <c r="CM64" s="30"/>
      <c r="CN64" s="30"/>
      <c r="CO64" s="30"/>
      <c r="CP64" s="30"/>
    </row>
    <row r="65" spans="1:94">
      <c r="A65" s="30">
        <v>64</v>
      </c>
      <c r="B65" s="161">
        <v>45641</v>
      </c>
      <c r="C65" s="151" t="s">
        <v>355</v>
      </c>
      <c r="D65" s="151" t="s">
        <v>356</v>
      </c>
      <c r="E65" s="151" t="s">
        <v>151</v>
      </c>
      <c r="F65" s="151" t="s">
        <v>24</v>
      </c>
      <c r="G65" s="151" t="s">
        <v>8</v>
      </c>
      <c r="H65" s="151">
        <v>422</v>
      </c>
      <c r="I65" s="151" t="s">
        <v>9</v>
      </c>
      <c r="J65" s="30"/>
      <c r="K65" s="59">
        <v>10000</v>
      </c>
      <c r="L65" s="59">
        <v>0</v>
      </c>
      <c r="M65" s="59">
        <v>0</v>
      </c>
      <c r="N65" s="59">
        <v>4500</v>
      </c>
      <c r="O65" s="59">
        <v>2800</v>
      </c>
      <c r="P65" s="59">
        <v>0</v>
      </c>
      <c r="Q65" s="59">
        <v>0</v>
      </c>
      <c r="R65" s="59">
        <v>0</v>
      </c>
      <c r="S65" s="59">
        <v>0</v>
      </c>
      <c r="T65" s="59">
        <v>0</v>
      </c>
      <c r="U65" s="59">
        <v>0</v>
      </c>
      <c r="V65" s="59">
        <v>0</v>
      </c>
      <c r="W65" s="59">
        <v>0</v>
      </c>
      <c r="X65" s="59">
        <v>0</v>
      </c>
      <c r="Y65" s="59">
        <v>0</v>
      </c>
      <c r="Z65" s="59">
        <v>0</v>
      </c>
      <c r="AA65" s="59">
        <v>0</v>
      </c>
      <c r="AB65" s="44">
        <f t="shared" si="38"/>
        <v>17300</v>
      </c>
      <c r="AC65" s="44">
        <f t="shared" si="46"/>
        <v>17300</v>
      </c>
      <c r="AD65" s="59">
        <v>25</v>
      </c>
      <c r="AE65" s="59">
        <v>0</v>
      </c>
      <c r="AF65" s="59">
        <v>0</v>
      </c>
      <c r="AG65" s="59">
        <v>0</v>
      </c>
      <c r="AH65" s="59">
        <v>0</v>
      </c>
      <c r="AI65" s="59">
        <v>0</v>
      </c>
      <c r="AJ65" s="21">
        <f t="shared" si="33"/>
        <v>25</v>
      </c>
      <c r="AK65" s="47">
        <f t="shared" si="40"/>
        <v>7000</v>
      </c>
      <c r="AL65" s="48">
        <f t="shared" si="41"/>
        <v>7000</v>
      </c>
      <c r="AM65" s="48">
        <f t="shared" si="27"/>
        <v>24300</v>
      </c>
      <c r="AN65" s="32">
        <v>280</v>
      </c>
      <c r="AO65" s="59">
        <v>99</v>
      </c>
      <c r="AP65" s="59">
        <v>0</v>
      </c>
      <c r="AQ65" s="59">
        <v>2800</v>
      </c>
      <c r="AR65" s="59">
        <v>0</v>
      </c>
      <c r="AS65" s="59">
        <v>0</v>
      </c>
      <c r="AT65" s="59">
        <v>0</v>
      </c>
      <c r="AU65" s="59">
        <v>0</v>
      </c>
      <c r="AV65" s="160">
        <v>122</v>
      </c>
      <c r="AW65" s="59">
        <v>95.032786900000005</v>
      </c>
      <c r="AX65" s="21">
        <f t="shared" si="45"/>
        <v>11594.000001800001</v>
      </c>
      <c r="AY65" s="59">
        <v>0</v>
      </c>
      <c r="AZ65" s="59">
        <v>0</v>
      </c>
      <c r="BA65" s="59">
        <v>0</v>
      </c>
      <c r="BB65" s="28">
        <f t="shared" si="23"/>
        <v>99</v>
      </c>
      <c r="BC65" s="38">
        <f t="shared" si="42"/>
        <v>37520</v>
      </c>
      <c r="BD65" s="41">
        <f t="shared" si="43"/>
        <v>54820</v>
      </c>
      <c r="BE65" s="41">
        <f t="shared" si="44"/>
        <v>66414.000001799999</v>
      </c>
      <c r="BF65" s="32">
        <f t="shared" si="47"/>
        <v>402</v>
      </c>
      <c r="BG65" s="59">
        <v>0</v>
      </c>
      <c r="BH65" s="59">
        <v>0</v>
      </c>
      <c r="BI65" s="59">
        <v>0</v>
      </c>
      <c r="BJ65" s="59"/>
      <c r="BK65" s="59">
        <v>0</v>
      </c>
      <c r="BL65" s="28">
        <f t="shared" si="17"/>
        <v>27720</v>
      </c>
      <c r="BM65" s="30"/>
      <c r="BN65" s="30"/>
      <c r="BO65" s="59"/>
      <c r="BP65" s="59">
        <v>5450</v>
      </c>
      <c r="BQ65" s="59">
        <v>0</v>
      </c>
      <c r="BR65" s="59">
        <v>1187.5</v>
      </c>
      <c r="BS65" s="59">
        <v>0</v>
      </c>
      <c r="BT65" s="59">
        <f>605</f>
        <v>605</v>
      </c>
      <c r="BU65" s="59">
        <v>0</v>
      </c>
      <c r="BV65" s="59">
        <v>450</v>
      </c>
      <c r="BW65" s="59"/>
      <c r="BX65" s="59"/>
      <c r="BY65" s="59"/>
      <c r="BZ65" s="59"/>
      <c r="CA65" s="59"/>
      <c r="CB65" s="59"/>
      <c r="CC65" s="59"/>
      <c r="CD65" s="59">
        <f>2477.98+3040.8</f>
        <v>5518.7800000000007</v>
      </c>
      <c r="CE65" s="59"/>
      <c r="CF65" s="59"/>
      <c r="CG65" s="59"/>
      <c r="CH65" s="59"/>
      <c r="CI65" s="34">
        <f t="shared" si="35"/>
        <v>13211.28</v>
      </c>
      <c r="CJ65" s="32"/>
      <c r="CK65" s="32"/>
      <c r="CL65" s="30"/>
      <c r="CM65" s="30"/>
      <c r="CN65" s="30"/>
      <c r="CO65" s="30"/>
      <c r="CP65" s="30"/>
    </row>
    <row r="66" spans="1:94">
      <c r="A66" s="30">
        <v>65</v>
      </c>
      <c r="B66" s="161">
        <v>45654</v>
      </c>
      <c r="C66" s="151" t="s">
        <v>357</v>
      </c>
      <c r="D66" s="151" t="s">
        <v>353</v>
      </c>
      <c r="E66" s="151" t="s">
        <v>151</v>
      </c>
      <c r="F66" s="151" t="s">
        <v>24</v>
      </c>
      <c r="G66" s="151" t="s">
        <v>8</v>
      </c>
      <c r="H66" s="151">
        <v>418</v>
      </c>
      <c r="I66" s="151" t="s">
        <v>9</v>
      </c>
      <c r="J66" s="30"/>
      <c r="K66" s="59">
        <v>16200</v>
      </c>
      <c r="L66" s="59">
        <v>0</v>
      </c>
      <c r="M66" s="59">
        <v>1500</v>
      </c>
      <c r="N66" s="59">
        <v>5500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Z66" s="59">
        <v>0</v>
      </c>
      <c r="AA66" s="59">
        <v>0</v>
      </c>
      <c r="AB66" s="44">
        <f t="shared" si="38"/>
        <v>23200</v>
      </c>
      <c r="AC66" s="44">
        <f t="shared" si="46"/>
        <v>23200</v>
      </c>
      <c r="AD66" s="59">
        <v>25</v>
      </c>
      <c r="AE66" s="59">
        <v>0</v>
      </c>
      <c r="AF66" s="59">
        <v>0</v>
      </c>
      <c r="AG66" s="59">
        <v>0</v>
      </c>
      <c r="AH66" s="59">
        <v>0</v>
      </c>
      <c r="AI66" s="59">
        <v>0</v>
      </c>
      <c r="AJ66" s="21">
        <f t="shared" si="33"/>
        <v>25</v>
      </c>
      <c r="AK66" s="47">
        <f t="shared" si="40"/>
        <v>15000</v>
      </c>
      <c r="AL66" s="48">
        <f t="shared" si="41"/>
        <v>15000</v>
      </c>
      <c r="AM66" s="48">
        <f t="shared" si="27"/>
        <v>38200</v>
      </c>
      <c r="AN66" s="32">
        <v>600</v>
      </c>
      <c r="AO66" s="59">
        <v>99</v>
      </c>
      <c r="AP66" s="59">
        <v>0</v>
      </c>
      <c r="AQ66" s="59">
        <v>0</v>
      </c>
      <c r="AR66" s="59">
        <v>0</v>
      </c>
      <c r="AS66" s="59">
        <v>0</v>
      </c>
      <c r="AT66" s="59">
        <v>0</v>
      </c>
      <c r="AU66" s="59">
        <v>0</v>
      </c>
      <c r="AV66" s="160">
        <v>63</v>
      </c>
      <c r="AW66" s="59">
        <v>114.15873000000001</v>
      </c>
      <c r="AX66" s="21">
        <f t="shared" si="45"/>
        <v>7191.9999900000003</v>
      </c>
      <c r="AY66" s="59">
        <v>0</v>
      </c>
      <c r="AZ66" s="59">
        <v>0</v>
      </c>
      <c r="BA66" s="59">
        <v>0</v>
      </c>
      <c r="BB66" s="59">
        <f t="shared" si="23"/>
        <v>99</v>
      </c>
      <c r="BC66" s="38">
        <f t="shared" si="42"/>
        <v>74400</v>
      </c>
      <c r="BD66" s="41">
        <f t="shared" si="43"/>
        <v>97600</v>
      </c>
      <c r="BE66" s="41">
        <f t="shared" si="44"/>
        <v>104791.99999</v>
      </c>
      <c r="BF66" s="32">
        <f t="shared" si="47"/>
        <v>663</v>
      </c>
      <c r="BG66" s="59">
        <v>0</v>
      </c>
      <c r="BH66" s="59">
        <v>0</v>
      </c>
      <c r="BI66" s="59">
        <v>0</v>
      </c>
      <c r="BJ66" s="59">
        <v>0</v>
      </c>
      <c r="BK66" s="59">
        <v>0</v>
      </c>
      <c r="BL66" s="28">
        <f t="shared" si="17"/>
        <v>59400</v>
      </c>
      <c r="BM66" s="30"/>
      <c r="BN66" s="30"/>
      <c r="BO66" s="59">
        <v>500</v>
      </c>
      <c r="BP66" s="59">
        <v>5450</v>
      </c>
      <c r="BQ66" s="59">
        <v>0</v>
      </c>
      <c r="BR66" s="59">
        <v>850</v>
      </c>
      <c r="BS66" s="59">
        <v>0</v>
      </c>
      <c r="BT66" s="59">
        <v>0</v>
      </c>
      <c r="BU66" s="59">
        <v>0</v>
      </c>
      <c r="BV66" s="59">
        <v>450</v>
      </c>
      <c r="BW66" s="59"/>
      <c r="BX66" s="59"/>
      <c r="BY66" s="59"/>
      <c r="BZ66" s="59"/>
      <c r="CA66" s="59"/>
      <c r="CB66" s="59"/>
      <c r="CC66" s="59"/>
      <c r="CD66" s="59">
        <v>9779.75</v>
      </c>
      <c r="CE66" s="59"/>
      <c r="CF66" s="59"/>
      <c r="CG66" s="59"/>
      <c r="CH66" s="59"/>
      <c r="CI66" s="34">
        <f t="shared" si="35"/>
        <v>17029.75</v>
      </c>
      <c r="CJ66" s="32"/>
      <c r="CK66" s="32"/>
      <c r="CL66" s="30"/>
      <c r="CM66" s="30"/>
      <c r="CN66" s="30"/>
      <c r="CO66" s="30"/>
      <c r="CP66" s="30"/>
    </row>
    <row r="67" spans="1:94">
      <c r="A67" s="30">
        <v>66</v>
      </c>
      <c r="B67" s="135">
        <v>45637</v>
      </c>
      <c r="C67" s="136" t="s">
        <v>359</v>
      </c>
      <c r="D67" s="136" t="s">
        <v>271</v>
      </c>
      <c r="E67" s="136" t="s">
        <v>151</v>
      </c>
      <c r="F67" s="136" t="s">
        <v>24</v>
      </c>
      <c r="G67" s="136" t="s">
        <v>8</v>
      </c>
      <c r="H67" s="136">
        <v>414</v>
      </c>
      <c r="I67" s="136" t="s">
        <v>9</v>
      </c>
      <c r="J67" s="30"/>
      <c r="K67" s="59">
        <v>10000</v>
      </c>
      <c r="L67" s="59">
        <v>0</v>
      </c>
      <c r="M67" s="59">
        <v>0</v>
      </c>
      <c r="N67" s="59">
        <v>4500</v>
      </c>
      <c r="O67" s="59">
        <v>2800</v>
      </c>
      <c r="P67" s="59">
        <v>0</v>
      </c>
      <c r="Q67" s="59">
        <v>0</v>
      </c>
      <c r="R67" s="59">
        <v>0</v>
      </c>
      <c r="S67" s="59">
        <v>0</v>
      </c>
      <c r="T67" s="59">
        <v>0</v>
      </c>
      <c r="U67" s="59">
        <v>0</v>
      </c>
      <c r="V67" s="59">
        <v>0</v>
      </c>
      <c r="W67" s="59">
        <v>0</v>
      </c>
      <c r="X67" s="59">
        <v>0</v>
      </c>
      <c r="Y67" s="59">
        <v>0</v>
      </c>
      <c r="Z67" s="59">
        <v>0</v>
      </c>
      <c r="AA67" s="59">
        <v>0</v>
      </c>
      <c r="AB67" s="44">
        <f t="shared" si="38"/>
        <v>17300</v>
      </c>
      <c r="AC67" s="44">
        <f t="shared" si="46"/>
        <v>17300</v>
      </c>
      <c r="AD67" s="59">
        <v>25</v>
      </c>
      <c r="AE67" s="59">
        <v>0</v>
      </c>
      <c r="AF67" s="59">
        <v>0</v>
      </c>
      <c r="AG67" s="59">
        <v>0</v>
      </c>
      <c r="AH67" s="59">
        <v>0</v>
      </c>
      <c r="AI67" s="59">
        <v>0</v>
      </c>
      <c r="AJ67" s="21">
        <f t="shared" si="33"/>
        <v>25</v>
      </c>
      <c r="AK67" s="47">
        <f t="shared" si="40"/>
        <v>7500</v>
      </c>
      <c r="AL67" s="48">
        <f t="shared" si="41"/>
        <v>7500</v>
      </c>
      <c r="AM67" s="48">
        <f t="shared" si="27"/>
        <v>24800</v>
      </c>
      <c r="AN67" s="32">
        <v>300</v>
      </c>
      <c r="AO67" s="59">
        <v>99</v>
      </c>
      <c r="AP67" s="59">
        <v>0</v>
      </c>
      <c r="AQ67" s="59">
        <v>3260</v>
      </c>
      <c r="AR67" s="59">
        <v>0</v>
      </c>
      <c r="AS67" s="59">
        <v>0</v>
      </c>
      <c r="AT67" s="59">
        <v>0</v>
      </c>
      <c r="AU67" s="59">
        <v>0</v>
      </c>
      <c r="AV67" s="59">
        <v>0</v>
      </c>
      <c r="AW67" s="59">
        <v>0</v>
      </c>
      <c r="AX67" s="21">
        <f t="shared" si="45"/>
        <v>0</v>
      </c>
      <c r="AY67" s="59">
        <v>0</v>
      </c>
      <c r="AZ67" s="59">
        <v>0</v>
      </c>
      <c r="BA67" s="59">
        <v>0</v>
      </c>
      <c r="BB67" s="59">
        <f t="shared" si="23"/>
        <v>99</v>
      </c>
      <c r="BC67" s="38">
        <f t="shared" si="42"/>
        <v>40460</v>
      </c>
      <c r="BD67" s="41">
        <f t="shared" si="43"/>
        <v>57760</v>
      </c>
      <c r="BE67" s="41">
        <f t="shared" si="44"/>
        <v>57760</v>
      </c>
      <c r="BF67" s="32">
        <f t="shared" si="47"/>
        <v>300</v>
      </c>
      <c r="BG67" s="59"/>
      <c r="BH67" s="59">
        <v>0</v>
      </c>
      <c r="BI67" s="59">
        <v>0</v>
      </c>
      <c r="BJ67" s="59">
        <v>0</v>
      </c>
      <c r="BK67" s="59">
        <v>0</v>
      </c>
      <c r="BL67" s="28">
        <f t="shared" si="17"/>
        <v>29700</v>
      </c>
      <c r="BM67" s="30"/>
      <c r="BN67" s="30"/>
      <c r="BO67" s="59"/>
      <c r="BP67" s="59">
        <v>5450</v>
      </c>
      <c r="BQ67" s="59">
        <v>0</v>
      </c>
      <c r="BR67" s="59">
        <v>1187.5</v>
      </c>
      <c r="BS67" s="59">
        <v>0</v>
      </c>
      <c r="BT67" s="59">
        <v>412.5</v>
      </c>
      <c r="BU67" s="59">
        <v>0</v>
      </c>
      <c r="BV67" s="59">
        <v>450</v>
      </c>
      <c r="BW67" s="59"/>
      <c r="BX67" s="59"/>
      <c r="BY67" s="59"/>
      <c r="BZ67" s="59"/>
      <c r="CA67" s="59"/>
      <c r="CB67" s="59"/>
      <c r="CC67" s="59"/>
      <c r="CD67" s="59">
        <f>7964.93+9774</f>
        <v>17738.93</v>
      </c>
      <c r="CE67" s="59"/>
      <c r="CF67" s="59"/>
      <c r="CG67" s="59"/>
      <c r="CH67" s="59"/>
      <c r="CI67" s="34">
        <f t="shared" si="35"/>
        <v>23738.93</v>
      </c>
      <c r="CJ67" s="32"/>
      <c r="CK67" s="32"/>
      <c r="CL67" s="30"/>
      <c r="CM67" s="30"/>
      <c r="CN67" s="30"/>
      <c r="CO67" s="30"/>
      <c r="CP67" s="30"/>
    </row>
    <row r="68" spans="1:94">
      <c r="A68" s="30">
        <v>67</v>
      </c>
      <c r="B68" s="135">
        <v>45625</v>
      </c>
      <c r="C68" s="136" t="s">
        <v>365</v>
      </c>
      <c r="D68" s="136" t="s">
        <v>271</v>
      </c>
      <c r="E68" s="136" t="s">
        <v>151</v>
      </c>
      <c r="F68" s="136" t="s">
        <v>24</v>
      </c>
      <c r="G68" s="136" t="s">
        <v>8</v>
      </c>
      <c r="H68" s="136">
        <v>415</v>
      </c>
      <c r="I68" s="136" t="s">
        <v>9</v>
      </c>
      <c r="J68" s="30"/>
      <c r="K68" s="59">
        <v>10000</v>
      </c>
      <c r="L68" s="59">
        <v>0</v>
      </c>
      <c r="M68" s="59">
        <v>0</v>
      </c>
      <c r="N68" s="59">
        <v>4500</v>
      </c>
      <c r="O68" s="59">
        <v>2800</v>
      </c>
      <c r="P68" s="59">
        <v>0</v>
      </c>
      <c r="Q68" s="59">
        <v>0</v>
      </c>
      <c r="R68" s="59">
        <v>0</v>
      </c>
      <c r="S68" s="59">
        <v>0</v>
      </c>
      <c r="T68" s="59">
        <v>0</v>
      </c>
      <c r="U68" s="59">
        <v>0</v>
      </c>
      <c r="V68" s="59">
        <v>0</v>
      </c>
      <c r="W68" s="59">
        <v>0</v>
      </c>
      <c r="X68" s="59">
        <v>0</v>
      </c>
      <c r="Y68" s="59">
        <v>0</v>
      </c>
      <c r="Z68" s="59">
        <v>0</v>
      </c>
      <c r="AA68" s="59">
        <v>0</v>
      </c>
      <c r="AB68" s="44">
        <f t="shared" si="38"/>
        <v>17300</v>
      </c>
      <c r="AC68" s="44">
        <f t="shared" si="46"/>
        <v>17300</v>
      </c>
      <c r="AD68" s="59">
        <v>25</v>
      </c>
      <c r="AE68" s="59">
        <v>0</v>
      </c>
      <c r="AF68" s="59">
        <v>0</v>
      </c>
      <c r="AG68" s="59">
        <v>0</v>
      </c>
      <c r="AH68" s="59">
        <v>0</v>
      </c>
      <c r="AI68" s="59">
        <v>0</v>
      </c>
      <c r="AJ68" s="21">
        <f t="shared" si="33"/>
        <v>25</v>
      </c>
      <c r="AK68" s="47">
        <f t="shared" si="40"/>
        <v>7500</v>
      </c>
      <c r="AL68" s="48">
        <f t="shared" si="41"/>
        <v>7500</v>
      </c>
      <c r="AM68" s="48">
        <f t="shared" si="27"/>
        <v>24800</v>
      </c>
      <c r="AN68" s="32">
        <v>300</v>
      </c>
      <c r="AO68" s="59">
        <v>99</v>
      </c>
      <c r="AP68" s="59">
        <v>0</v>
      </c>
      <c r="AQ68" s="59">
        <v>0</v>
      </c>
      <c r="AR68" s="59">
        <v>0</v>
      </c>
      <c r="AS68" s="59">
        <v>0</v>
      </c>
      <c r="AT68" s="59">
        <v>0</v>
      </c>
      <c r="AU68" s="59">
        <v>0</v>
      </c>
      <c r="AV68" s="59">
        <v>0</v>
      </c>
      <c r="AW68" s="59">
        <v>0</v>
      </c>
      <c r="AX68" s="21">
        <v>0</v>
      </c>
      <c r="AY68" s="59">
        <v>0</v>
      </c>
      <c r="AZ68" s="59">
        <v>0</v>
      </c>
      <c r="BA68" s="59">
        <v>0</v>
      </c>
      <c r="BB68" s="59">
        <f t="shared" si="23"/>
        <v>99</v>
      </c>
      <c r="BC68" s="38">
        <f t="shared" si="42"/>
        <v>37200</v>
      </c>
      <c r="BD68" s="41">
        <f t="shared" si="43"/>
        <v>54500</v>
      </c>
      <c r="BE68" s="74">
        <f t="shared" si="44"/>
        <v>54500</v>
      </c>
      <c r="BF68" s="32">
        <f t="shared" si="47"/>
        <v>300</v>
      </c>
      <c r="BG68" s="59">
        <v>0</v>
      </c>
      <c r="BH68" s="59">
        <v>0</v>
      </c>
      <c r="BI68" s="59">
        <v>0</v>
      </c>
      <c r="BJ68" s="59">
        <v>0</v>
      </c>
      <c r="BK68" s="59">
        <v>0</v>
      </c>
      <c r="BL68" s="28">
        <f t="shared" si="17"/>
        <v>29700</v>
      </c>
      <c r="BM68" s="30"/>
      <c r="BN68" s="30"/>
      <c r="BO68" s="59"/>
      <c r="BP68" s="59">
        <v>5450</v>
      </c>
      <c r="BQ68" s="59">
        <v>0</v>
      </c>
      <c r="BR68" s="59">
        <v>440</v>
      </c>
      <c r="BS68" s="59">
        <v>0</v>
      </c>
      <c r="BT68" s="59">
        <v>285</v>
      </c>
      <c r="BU68" s="59">
        <v>0</v>
      </c>
      <c r="BV68" s="59">
        <v>450</v>
      </c>
      <c r="BW68" s="59"/>
      <c r="BX68" s="59"/>
      <c r="BY68" s="59"/>
      <c r="BZ68" s="59"/>
      <c r="CA68" s="59"/>
      <c r="CB68" s="59"/>
      <c r="CC68" s="59"/>
      <c r="CD68" s="59">
        <f>1604.22</f>
        <v>1604.22</v>
      </c>
      <c r="CE68" s="59"/>
      <c r="CF68" s="59"/>
      <c r="CG68" s="59"/>
      <c r="CH68" s="59"/>
      <c r="CI68" s="34">
        <f t="shared" si="35"/>
        <v>6729.22</v>
      </c>
      <c r="CJ68" s="32"/>
      <c r="CK68" s="32"/>
      <c r="CL68" s="75"/>
      <c r="CM68" s="30"/>
      <c r="CN68" s="30"/>
      <c r="CO68" s="30"/>
      <c r="CP68" s="30"/>
    </row>
    <row r="69" spans="1:94">
      <c r="A69" s="30">
        <v>68</v>
      </c>
      <c r="B69" s="89">
        <v>45627</v>
      </c>
      <c r="C69" s="90" t="s">
        <v>366</v>
      </c>
      <c r="D69" s="90" t="s">
        <v>367</v>
      </c>
      <c r="E69" s="90" t="s">
        <v>151</v>
      </c>
      <c r="F69" s="90"/>
      <c r="G69" s="90" t="s">
        <v>8</v>
      </c>
      <c r="H69" s="90">
        <v>549</v>
      </c>
      <c r="I69" s="90" t="s">
        <v>9</v>
      </c>
      <c r="J69" s="30"/>
      <c r="K69" s="126">
        <v>20000</v>
      </c>
      <c r="L69" s="126">
        <v>0</v>
      </c>
      <c r="M69" s="126">
        <v>1800</v>
      </c>
      <c r="N69" s="59">
        <f>1200+3500+4300+2500+500</f>
        <v>12000</v>
      </c>
      <c r="O69" s="126">
        <v>0</v>
      </c>
      <c r="P69" s="126">
        <v>0</v>
      </c>
      <c r="Q69" s="126">
        <v>0</v>
      </c>
      <c r="R69" s="126">
        <v>0</v>
      </c>
      <c r="S69" s="126">
        <v>0</v>
      </c>
      <c r="T69" s="126">
        <v>0</v>
      </c>
      <c r="U69" s="126">
        <v>0</v>
      </c>
      <c r="V69" s="126">
        <v>0</v>
      </c>
      <c r="W69" s="126">
        <v>0</v>
      </c>
      <c r="X69" s="126">
        <v>0</v>
      </c>
      <c r="Y69" s="126">
        <v>0</v>
      </c>
      <c r="Z69" s="126">
        <v>0</v>
      </c>
      <c r="AA69" s="126">
        <v>0</v>
      </c>
      <c r="AB69" s="43">
        <f t="shared" si="38"/>
        <v>33800</v>
      </c>
      <c r="AC69" s="43">
        <f t="shared" si="46"/>
        <v>33800</v>
      </c>
      <c r="AD69" s="126">
        <v>0</v>
      </c>
      <c r="AE69" s="126">
        <v>0</v>
      </c>
      <c r="AF69" s="126">
        <v>0</v>
      </c>
      <c r="AG69" s="126">
        <v>0</v>
      </c>
      <c r="AH69" s="126">
        <v>0</v>
      </c>
      <c r="AI69" s="126">
        <v>0</v>
      </c>
      <c r="AJ69" s="21">
        <f t="shared" si="33"/>
        <v>0</v>
      </c>
      <c r="AK69" s="22">
        <f t="shared" si="40"/>
        <v>0</v>
      </c>
      <c r="AL69" s="42">
        <f t="shared" si="41"/>
        <v>0</v>
      </c>
      <c r="AM69" s="42">
        <f t="shared" si="27"/>
        <v>33800</v>
      </c>
      <c r="AN69" s="32">
        <v>300</v>
      </c>
      <c r="AO69" s="126">
        <v>0</v>
      </c>
      <c r="AP69" s="126">
        <v>0</v>
      </c>
      <c r="AQ69" s="126">
        <v>0</v>
      </c>
      <c r="AR69" s="126">
        <v>0</v>
      </c>
      <c r="AS69" s="126">
        <v>0</v>
      </c>
      <c r="AT69" s="126">
        <v>0</v>
      </c>
      <c r="AU69" s="126">
        <v>0</v>
      </c>
      <c r="AV69" s="126">
        <v>0</v>
      </c>
      <c r="AW69" s="126">
        <v>0</v>
      </c>
      <c r="AX69" s="21">
        <f t="shared" si="45"/>
        <v>0</v>
      </c>
      <c r="AY69" s="126">
        <v>0</v>
      </c>
      <c r="AZ69" s="126">
        <v>0</v>
      </c>
      <c r="BA69" s="126">
        <v>0</v>
      </c>
      <c r="BB69" s="59">
        <f t="shared" si="23"/>
        <v>0</v>
      </c>
      <c r="BC69" s="23">
        <f t="shared" si="42"/>
        <v>0</v>
      </c>
      <c r="BD69" s="40">
        <f t="shared" si="43"/>
        <v>33800</v>
      </c>
      <c r="BE69" s="40">
        <f t="shared" si="44"/>
        <v>33800</v>
      </c>
      <c r="BF69" s="32">
        <f t="shared" si="47"/>
        <v>300</v>
      </c>
      <c r="BG69" s="59">
        <v>0</v>
      </c>
      <c r="BH69" s="59">
        <v>0</v>
      </c>
      <c r="BI69" s="59">
        <v>0</v>
      </c>
      <c r="BJ69" s="59">
        <v>0</v>
      </c>
      <c r="BK69" s="59">
        <v>0</v>
      </c>
      <c r="BL69" s="28">
        <f t="shared" ref="BL69:BL79" si="48">AO69*AN69</f>
        <v>0</v>
      </c>
      <c r="BM69" s="30"/>
      <c r="BN69" s="30"/>
      <c r="BO69" s="59"/>
      <c r="BP69" s="59">
        <v>3950</v>
      </c>
      <c r="BQ69" s="59">
        <v>0</v>
      </c>
      <c r="BR69" s="59">
        <v>340</v>
      </c>
      <c r="BS69" s="59">
        <v>0</v>
      </c>
      <c r="BT69" s="59">
        <v>0</v>
      </c>
      <c r="BU69" s="59">
        <v>0</v>
      </c>
      <c r="BV69" s="59">
        <v>450</v>
      </c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34">
        <f t="shared" si="35"/>
        <v>790</v>
      </c>
      <c r="CJ69" s="32"/>
      <c r="CK69" s="32"/>
      <c r="CM69" s="30"/>
      <c r="CN69" s="30"/>
      <c r="CO69" s="30"/>
      <c r="CP69" s="30"/>
    </row>
    <row r="70" spans="1:94" s="86" customFormat="1">
      <c r="A70" s="65">
        <v>69</v>
      </c>
      <c r="B70" s="141">
        <v>45626</v>
      </c>
      <c r="C70" s="142" t="s">
        <v>368</v>
      </c>
      <c r="D70" s="142" t="s">
        <v>369</v>
      </c>
      <c r="E70" s="142" t="s">
        <v>151</v>
      </c>
      <c r="F70" s="142" t="s">
        <v>13</v>
      </c>
      <c r="G70" s="142" t="s">
        <v>8</v>
      </c>
      <c r="H70" s="142">
        <v>553</v>
      </c>
      <c r="I70" s="142" t="s">
        <v>9</v>
      </c>
      <c r="J70" s="87"/>
      <c r="K70" s="66">
        <f>24638+7450</f>
        <v>32088</v>
      </c>
      <c r="L70" s="66">
        <v>1500</v>
      </c>
      <c r="M70" s="66">
        <v>1500</v>
      </c>
      <c r="N70" s="66">
        <f>1800+4500+2000</f>
        <v>8300</v>
      </c>
      <c r="O70" s="66">
        <f>3410</f>
        <v>3410</v>
      </c>
      <c r="P70" s="66">
        <v>0</v>
      </c>
      <c r="Q70" s="66">
        <v>0</v>
      </c>
      <c r="R70" s="66">
        <v>0</v>
      </c>
      <c r="S70" s="66">
        <v>9450</v>
      </c>
      <c r="T70" s="66">
        <v>0</v>
      </c>
      <c r="U70" s="66">
        <v>0</v>
      </c>
      <c r="V70" s="66">
        <v>0</v>
      </c>
      <c r="W70" s="66">
        <v>6000</v>
      </c>
      <c r="X70" s="66">
        <v>0</v>
      </c>
      <c r="Y70" s="66">
        <v>0</v>
      </c>
      <c r="Z70" s="66">
        <v>0</v>
      </c>
      <c r="AA70" s="66">
        <v>0</v>
      </c>
      <c r="AB70" s="66">
        <f t="shared" si="38"/>
        <v>46798</v>
      </c>
      <c r="AC70" s="66">
        <f>AB70+AA70+Z70+Y70+X70+V70+U70+W70</f>
        <v>52798</v>
      </c>
      <c r="AD70" s="66">
        <v>64.599999999999994</v>
      </c>
      <c r="AE70" s="66">
        <v>25</v>
      </c>
      <c r="AF70" s="66">
        <v>0</v>
      </c>
      <c r="AG70" s="66">
        <v>0</v>
      </c>
      <c r="AH70" s="66">
        <v>0</v>
      </c>
      <c r="AI70" s="66">
        <v>0</v>
      </c>
      <c r="AJ70" s="66">
        <f t="shared" si="33"/>
        <v>89.6</v>
      </c>
      <c r="AK70" s="66">
        <f t="shared" si="40"/>
        <v>89600</v>
      </c>
      <c r="AL70" s="87">
        <f t="shared" si="41"/>
        <v>89600</v>
      </c>
      <c r="AM70" s="87">
        <f t="shared" si="27"/>
        <v>142398</v>
      </c>
      <c r="AN70" s="87">
        <v>1000</v>
      </c>
      <c r="AO70" s="66">
        <v>134.4</v>
      </c>
      <c r="AP70" s="66">
        <v>0</v>
      </c>
      <c r="AQ70" s="66">
        <v>0</v>
      </c>
      <c r="AR70" s="66">
        <v>0</v>
      </c>
      <c r="AS70" s="66">
        <v>0</v>
      </c>
      <c r="AT70" s="66">
        <v>0</v>
      </c>
      <c r="AU70" s="66">
        <v>0</v>
      </c>
      <c r="AV70" s="66">
        <v>0</v>
      </c>
      <c r="AW70" s="66">
        <v>0</v>
      </c>
      <c r="AX70" s="66">
        <v>0</v>
      </c>
      <c r="AY70" s="66">
        <v>0</v>
      </c>
      <c r="AZ70" s="66">
        <v>0</v>
      </c>
      <c r="BA70" s="66">
        <v>0</v>
      </c>
      <c r="BB70" s="66">
        <f t="shared" si="23"/>
        <v>134.4</v>
      </c>
      <c r="BC70" s="62">
        <f t="shared" si="42"/>
        <v>224000</v>
      </c>
      <c r="BD70" s="109">
        <f t="shared" si="43"/>
        <v>270798</v>
      </c>
      <c r="BE70" s="109">
        <f t="shared" si="44"/>
        <v>276798</v>
      </c>
      <c r="BF70" s="88">
        <f t="shared" si="47"/>
        <v>1000</v>
      </c>
      <c r="BG70" s="66">
        <v>0</v>
      </c>
      <c r="BH70" s="66">
        <v>0</v>
      </c>
      <c r="BI70" s="66">
        <v>0</v>
      </c>
      <c r="BJ70" s="66">
        <v>0</v>
      </c>
      <c r="BK70" s="66">
        <v>0</v>
      </c>
      <c r="BL70" s="28">
        <f t="shared" si="48"/>
        <v>134400</v>
      </c>
      <c r="BM70" s="87"/>
      <c r="BN70" s="87"/>
      <c r="BO70" s="66"/>
      <c r="BP70" s="66">
        <v>3950</v>
      </c>
      <c r="BQ70" s="66">
        <v>0</v>
      </c>
      <c r="BR70" s="66">
        <v>3040</v>
      </c>
      <c r="BS70" s="66">
        <v>0</v>
      </c>
      <c r="BT70" s="66">
        <v>2047</v>
      </c>
      <c r="BU70" s="66">
        <v>3040</v>
      </c>
      <c r="BV70" s="66">
        <v>450</v>
      </c>
      <c r="BW70" s="66"/>
      <c r="BX70" s="66"/>
      <c r="BY70" s="66"/>
      <c r="BZ70" s="66"/>
      <c r="CA70" s="66"/>
      <c r="CB70" s="66"/>
      <c r="CC70" s="66"/>
      <c r="CD70" s="66">
        <v>29339.25</v>
      </c>
      <c r="CE70" s="66"/>
      <c r="CF70" s="66"/>
      <c r="CG70" s="66"/>
      <c r="CH70" s="66"/>
      <c r="CI70" s="34">
        <f t="shared" si="35"/>
        <v>41866.25</v>
      </c>
      <c r="CJ70" s="88"/>
      <c r="CK70" s="88"/>
      <c r="CM70" s="87"/>
      <c r="CN70" s="87"/>
      <c r="CO70" s="87"/>
      <c r="CP70" s="87"/>
    </row>
    <row r="71" spans="1:94" s="8" customFormat="1">
      <c r="A71" s="72">
        <v>70</v>
      </c>
      <c r="B71" s="135">
        <v>45621</v>
      </c>
      <c r="C71" s="136" t="s">
        <v>372</v>
      </c>
      <c r="D71" s="136" t="s">
        <v>15</v>
      </c>
      <c r="E71" s="136" t="s">
        <v>328</v>
      </c>
      <c r="F71" s="136" t="s">
        <v>373</v>
      </c>
      <c r="G71" s="136" t="s">
        <v>374</v>
      </c>
      <c r="H71" s="136">
        <v>550</v>
      </c>
      <c r="I71" s="136" t="s">
        <v>251</v>
      </c>
      <c r="J71" s="4"/>
      <c r="K71" s="21">
        <v>0</v>
      </c>
      <c r="L71" s="21">
        <v>0</v>
      </c>
      <c r="M71" s="21">
        <v>0</v>
      </c>
      <c r="N71" s="21">
        <v>0</v>
      </c>
      <c r="O71" s="21">
        <v>750</v>
      </c>
      <c r="P71" s="21">
        <v>0</v>
      </c>
      <c r="Q71" s="21">
        <v>0</v>
      </c>
      <c r="R71" s="21">
        <v>0</v>
      </c>
      <c r="S71" s="21">
        <v>0</v>
      </c>
      <c r="T71" s="21"/>
      <c r="U71" s="21">
        <v>6000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f t="shared" si="38"/>
        <v>750</v>
      </c>
      <c r="AC71" s="21">
        <f t="shared" si="46"/>
        <v>6750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f t="shared" si="33"/>
        <v>0</v>
      </c>
      <c r="AK71" s="21">
        <f t="shared" si="40"/>
        <v>0</v>
      </c>
      <c r="AL71" s="4">
        <f t="shared" si="41"/>
        <v>0</v>
      </c>
      <c r="AM71" s="4">
        <f t="shared" si="27"/>
        <v>6750</v>
      </c>
      <c r="AN71" s="4"/>
      <c r="AO71" s="21">
        <v>0</v>
      </c>
      <c r="AP71" s="21"/>
      <c r="AQ71" s="21">
        <v>7250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f t="shared" si="45"/>
        <v>0</v>
      </c>
      <c r="AY71" s="21">
        <v>0</v>
      </c>
      <c r="AZ71" s="21">
        <v>0</v>
      </c>
      <c r="BA71" s="21">
        <v>0</v>
      </c>
      <c r="BB71" s="21">
        <f t="shared" si="23"/>
        <v>0</v>
      </c>
      <c r="BC71" s="24">
        <f t="shared" si="42"/>
        <v>7250</v>
      </c>
      <c r="BD71" s="24">
        <f t="shared" si="43"/>
        <v>8000</v>
      </c>
      <c r="BE71" s="24">
        <f t="shared" si="44"/>
        <v>14000</v>
      </c>
      <c r="BF71" s="4">
        <f t="shared" si="47"/>
        <v>0</v>
      </c>
      <c r="BG71" s="21">
        <v>0</v>
      </c>
      <c r="BH71" s="21">
        <v>0</v>
      </c>
      <c r="BI71" s="21">
        <v>0</v>
      </c>
      <c r="BJ71" s="21">
        <f>BE71*10%</f>
        <v>1400</v>
      </c>
      <c r="BK71" s="21">
        <v>0</v>
      </c>
      <c r="BL71" s="28">
        <f t="shared" si="48"/>
        <v>0</v>
      </c>
      <c r="BM71" s="4"/>
      <c r="BN71" s="4"/>
      <c r="BO71" s="21"/>
      <c r="BP71" s="21">
        <v>0</v>
      </c>
      <c r="BQ71" s="21">
        <v>0</v>
      </c>
      <c r="BR71" s="21">
        <v>0</v>
      </c>
      <c r="BS71" s="21">
        <v>0</v>
      </c>
      <c r="BT71" s="21">
        <v>1600</v>
      </c>
      <c r="BU71" s="21">
        <v>0</v>
      </c>
      <c r="BV71" s="21">
        <v>0</v>
      </c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34">
        <f t="shared" si="35"/>
        <v>3100</v>
      </c>
      <c r="CJ71" s="32"/>
      <c r="CK71" s="32"/>
      <c r="CM71" s="4"/>
      <c r="CN71" s="4"/>
      <c r="CO71" s="4"/>
      <c r="CP71" s="4"/>
    </row>
    <row r="72" spans="1:94">
      <c r="A72" s="86">
        <v>71</v>
      </c>
      <c r="B72" s="135">
        <v>45583</v>
      </c>
      <c r="C72" s="136" t="s">
        <v>375</v>
      </c>
      <c r="D72" s="136" t="s">
        <v>199</v>
      </c>
      <c r="E72" s="136" t="s">
        <v>151</v>
      </c>
      <c r="F72" s="136" t="s">
        <v>13</v>
      </c>
      <c r="G72" s="136" t="s">
        <v>8</v>
      </c>
      <c r="H72" s="136">
        <v>482</v>
      </c>
      <c r="I72" s="136" t="s">
        <v>9</v>
      </c>
      <c r="J72" s="30"/>
      <c r="K72" s="126">
        <f>15400+3500+1800</f>
        <v>20700</v>
      </c>
      <c r="L72" s="126">
        <v>1800</v>
      </c>
      <c r="M72" s="126">
        <v>1800</v>
      </c>
      <c r="N72" s="126">
        <v>6500</v>
      </c>
      <c r="O72" s="126">
        <v>3190</v>
      </c>
      <c r="P72" s="126">
        <v>0</v>
      </c>
      <c r="Q72" s="126">
        <v>0</v>
      </c>
      <c r="R72" s="126">
        <v>0</v>
      </c>
      <c r="S72" s="126">
        <v>0</v>
      </c>
      <c r="T72" s="126">
        <v>6000</v>
      </c>
      <c r="U72" s="126">
        <v>0</v>
      </c>
      <c r="V72" s="126">
        <v>0</v>
      </c>
      <c r="W72" s="126">
        <v>0</v>
      </c>
      <c r="X72" s="126">
        <v>0</v>
      </c>
      <c r="Y72" s="126">
        <v>0</v>
      </c>
      <c r="Z72" s="126">
        <v>8964</v>
      </c>
      <c r="AA72" s="126">
        <v>0</v>
      </c>
      <c r="AB72" s="43">
        <f t="shared" si="38"/>
        <v>39990</v>
      </c>
      <c r="AC72" s="43">
        <f t="shared" si="46"/>
        <v>48954</v>
      </c>
      <c r="AD72" s="126">
        <f>27+-14</f>
        <v>13</v>
      </c>
      <c r="AE72" s="126">
        <v>0</v>
      </c>
      <c r="AF72" s="126">
        <v>0</v>
      </c>
      <c r="AG72" s="126">
        <v>0</v>
      </c>
      <c r="AH72" s="126">
        <v>0</v>
      </c>
      <c r="AI72" s="126">
        <v>0</v>
      </c>
      <c r="AJ72" s="21">
        <f t="shared" si="33"/>
        <v>13</v>
      </c>
      <c r="AK72" s="22">
        <f t="shared" si="40"/>
        <v>5850</v>
      </c>
      <c r="AL72" s="42">
        <f t="shared" si="41"/>
        <v>5850</v>
      </c>
      <c r="AM72" s="42">
        <f t="shared" si="27"/>
        <v>54804</v>
      </c>
      <c r="AN72" s="32">
        <v>450</v>
      </c>
      <c r="AO72" s="126">
        <f>180+28</f>
        <v>208</v>
      </c>
      <c r="AP72" s="126">
        <v>24</v>
      </c>
      <c r="AQ72" s="126">
        <v>7250</v>
      </c>
      <c r="AR72" s="126">
        <v>0</v>
      </c>
      <c r="AS72" s="126">
        <v>0</v>
      </c>
      <c r="AT72" s="126">
        <v>0</v>
      </c>
      <c r="AU72" s="126">
        <v>0</v>
      </c>
      <c r="AV72" s="126">
        <v>0</v>
      </c>
      <c r="AW72" s="126">
        <v>0</v>
      </c>
      <c r="AX72" s="21">
        <f t="shared" si="45"/>
        <v>0</v>
      </c>
      <c r="AY72" s="126">
        <v>0</v>
      </c>
      <c r="AZ72" s="126">
        <v>0</v>
      </c>
      <c r="BA72" s="126">
        <v>17557.54</v>
      </c>
      <c r="BB72" s="59">
        <f t="shared" si="23"/>
        <v>232</v>
      </c>
      <c r="BC72" s="23">
        <f t="shared" si="42"/>
        <v>117500</v>
      </c>
      <c r="BD72" s="40">
        <f t="shared" si="43"/>
        <v>157490</v>
      </c>
      <c r="BE72" s="40">
        <f t="shared" si="44"/>
        <v>184011.54</v>
      </c>
      <c r="BF72" s="32">
        <f t="shared" si="47"/>
        <v>450</v>
      </c>
      <c r="BG72" s="59">
        <v>0</v>
      </c>
      <c r="BH72" s="59">
        <v>0</v>
      </c>
      <c r="BI72" s="59">
        <v>0</v>
      </c>
      <c r="BJ72" s="59">
        <v>0</v>
      </c>
      <c r="BK72" s="59">
        <v>0</v>
      </c>
      <c r="BL72" s="28">
        <f t="shared" si="48"/>
        <v>93600</v>
      </c>
      <c r="BM72" s="30"/>
      <c r="BN72" s="30"/>
      <c r="BO72" s="59"/>
      <c r="BP72" s="59">
        <v>3950</v>
      </c>
      <c r="BQ72" s="59">
        <v>0</v>
      </c>
      <c r="BR72" s="59">
        <v>0</v>
      </c>
      <c r="BS72" s="59">
        <f>600</f>
        <v>600</v>
      </c>
      <c r="BT72" s="59">
        <v>320</v>
      </c>
      <c r="BU72" s="59">
        <f>830+460</f>
        <v>1290</v>
      </c>
      <c r="BV72" s="59">
        <v>450</v>
      </c>
      <c r="BW72" s="59"/>
      <c r="BX72" s="59"/>
      <c r="BY72" s="59"/>
      <c r="BZ72" s="59"/>
      <c r="CA72" s="59"/>
      <c r="CB72" s="59"/>
      <c r="CC72" s="59"/>
      <c r="CD72" s="59">
        <f>3608.78+4887</f>
        <v>8495.7800000000007</v>
      </c>
      <c r="CE72" s="59"/>
      <c r="CF72" s="59"/>
      <c r="CG72" s="59"/>
      <c r="CH72" s="59"/>
      <c r="CI72" s="34">
        <f t="shared" si="35"/>
        <v>12655.78</v>
      </c>
      <c r="CJ72" s="32"/>
      <c r="CK72" s="32"/>
      <c r="CM72" s="30"/>
      <c r="CN72" s="30"/>
      <c r="CO72" s="30"/>
      <c r="CP72" s="30"/>
    </row>
    <row r="73" spans="1:94">
      <c r="A73" s="157">
        <v>72</v>
      </c>
      <c r="B73" s="135">
        <v>45614</v>
      </c>
      <c r="C73" s="136" t="s">
        <v>44</v>
      </c>
      <c r="D73" s="136" t="s">
        <v>36</v>
      </c>
      <c r="E73" s="136" t="s">
        <v>151</v>
      </c>
      <c r="F73" s="136" t="s">
        <v>56</v>
      </c>
      <c r="G73" s="136" t="s">
        <v>8</v>
      </c>
      <c r="H73" s="136">
        <v>542</v>
      </c>
      <c r="I73" s="136" t="s">
        <v>9</v>
      </c>
      <c r="J73" s="30"/>
      <c r="K73" s="126">
        <v>0</v>
      </c>
      <c r="L73" s="126">
        <v>0</v>
      </c>
      <c r="M73" s="126">
        <v>0</v>
      </c>
      <c r="N73" s="126">
        <v>0</v>
      </c>
      <c r="O73" s="126">
        <v>0</v>
      </c>
      <c r="P73" s="126">
        <v>0</v>
      </c>
      <c r="Q73" s="126">
        <v>0</v>
      </c>
      <c r="R73" s="126">
        <v>0</v>
      </c>
      <c r="S73" s="126">
        <v>0</v>
      </c>
      <c r="T73" s="126">
        <v>0</v>
      </c>
      <c r="U73" s="126">
        <v>0</v>
      </c>
      <c r="V73" s="126">
        <v>0</v>
      </c>
      <c r="W73" s="126">
        <v>0</v>
      </c>
      <c r="X73" s="126">
        <v>0</v>
      </c>
      <c r="Y73" s="126">
        <v>0</v>
      </c>
      <c r="Z73" s="126">
        <v>0</v>
      </c>
      <c r="AA73" s="126">
        <v>0</v>
      </c>
      <c r="AB73" s="43">
        <f t="shared" si="38"/>
        <v>0</v>
      </c>
      <c r="AC73" s="43">
        <f t="shared" si="46"/>
        <v>0</v>
      </c>
      <c r="AD73" s="126">
        <v>17</v>
      </c>
      <c r="AE73" s="126">
        <v>0</v>
      </c>
      <c r="AF73" s="126">
        <v>0</v>
      </c>
      <c r="AG73" s="126">
        <v>0</v>
      </c>
      <c r="AH73" s="126">
        <v>0</v>
      </c>
      <c r="AI73" s="126">
        <v>0</v>
      </c>
      <c r="AJ73" s="21">
        <f t="shared" si="33"/>
        <v>17</v>
      </c>
      <c r="AK73" s="22">
        <f t="shared" si="40"/>
        <v>10319</v>
      </c>
      <c r="AL73" s="42">
        <f t="shared" si="41"/>
        <v>10319</v>
      </c>
      <c r="AM73" s="42">
        <f t="shared" si="27"/>
        <v>10319</v>
      </c>
      <c r="AN73" s="32">
        <v>607</v>
      </c>
      <c r="AO73" s="126">
        <v>70</v>
      </c>
      <c r="AP73" s="126">
        <v>0</v>
      </c>
      <c r="AQ73" s="126">
        <v>750</v>
      </c>
      <c r="AR73" s="126">
        <v>0</v>
      </c>
      <c r="AS73" s="126">
        <v>0</v>
      </c>
      <c r="AT73" s="126">
        <v>0</v>
      </c>
      <c r="AU73" s="126">
        <v>0</v>
      </c>
      <c r="AV73" s="126">
        <v>0</v>
      </c>
      <c r="AW73" s="126">
        <v>0</v>
      </c>
      <c r="AX73" s="21">
        <f t="shared" si="45"/>
        <v>0</v>
      </c>
      <c r="AY73" s="126">
        <v>0</v>
      </c>
      <c r="AZ73" s="126">
        <v>0</v>
      </c>
      <c r="BA73" s="126">
        <v>0</v>
      </c>
      <c r="BB73" s="59">
        <f t="shared" si="23"/>
        <v>70</v>
      </c>
      <c r="BC73" s="23">
        <f t="shared" si="42"/>
        <v>53559</v>
      </c>
      <c r="BD73" s="40">
        <f t="shared" si="43"/>
        <v>53559</v>
      </c>
      <c r="BE73" s="40">
        <f t="shared" si="44"/>
        <v>53559</v>
      </c>
      <c r="BF73" s="32">
        <f t="shared" si="47"/>
        <v>607</v>
      </c>
      <c r="BG73" s="59">
        <v>0</v>
      </c>
      <c r="BH73" s="59">
        <v>0</v>
      </c>
      <c r="BI73" s="59">
        <v>0</v>
      </c>
      <c r="BJ73" s="59">
        <v>0</v>
      </c>
      <c r="BK73" s="59">
        <v>0</v>
      </c>
      <c r="BL73" s="28">
        <f t="shared" si="48"/>
        <v>42490</v>
      </c>
      <c r="BM73" s="30">
        <v>0</v>
      </c>
      <c r="BN73" s="30"/>
      <c r="BO73" s="59"/>
      <c r="BP73" s="59">
        <v>1500</v>
      </c>
      <c r="BQ73" s="59">
        <v>0</v>
      </c>
      <c r="BR73" s="59">
        <f>300+260+160</f>
        <v>720</v>
      </c>
      <c r="BS73" s="59"/>
      <c r="BT73" s="59">
        <v>0</v>
      </c>
      <c r="BU73" s="59">
        <v>0</v>
      </c>
      <c r="BV73" s="59">
        <v>200</v>
      </c>
      <c r="BW73" s="59"/>
      <c r="BX73" s="59"/>
      <c r="BY73" s="59"/>
      <c r="BZ73" s="59"/>
      <c r="CA73" s="59"/>
      <c r="CB73" s="59"/>
      <c r="CC73" s="59"/>
      <c r="CD73" s="59">
        <v>4410.7299999999996</v>
      </c>
      <c r="CE73" s="59"/>
      <c r="CF73" s="59"/>
      <c r="CG73" s="59"/>
      <c r="CH73" s="59"/>
      <c r="CI73" s="34">
        <f t="shared" si="35"/>
        <v>9280.73</v>
      </c>
      <c r="CJ73" s="32"/>
      <c r="CK73" s="32"/>
      <c r="CM73" s="30"/>
      <c r="CN73" s="30"/>
      <c r="CO73" s="30"/>
      <c r="CP73" s="30"/>
    </row>
    <row r="74" spans="1:94">
      <c r="A74" s="157">
        <v>73</v>
      </c>
      <c r="B74" s="135">
        <v>45612</v>
      </c>
      <c r="C74" s="136" t="s">
        <v>377</v>
      </c>
      <c r="D74" s="136" t="s">
        <v>36</v>
      </c>
      <c r="E74" s="136" t="s">
        <v>151</v>
      </c>
      <c r="F74" s="136" t="s">
        <v>167</v>
      </c>
      <c r="G74" s="136" t="s">
        <v>8</v>
      </c>
      <c r="H74" s="136">
        <v>541</v>
      </c>
      <c r="I74" s="136" t="s">
        <v>9</v>
      </c>
      <c r="J74" s="30"/>
      <c r="K74" s="126">
        <v>0</v>
      </c>
      <c r="L74" s="126">
        <v>0</v>
      </c>
      <c r="M74" s="126">
        <v>0</v>
      </c>
      <c r="N74" s="126">
        <v>0</v>
      </c>
      <c r="O74" s="126">
        <v>0</v>
      </c>
      <c r="P74" s="126">
        <v>0</v>
      </c>
      <c r="Q74" s="126">
        <v>0</v>
      </c>
      <c r="R74" s="126">
        <v>0</v>
      </c>
      <c r="S74" s="126">
        <v>0</v>
      </c>
      <c r="T74" s="126">
        <v>0</v>
      </c>
      <c r="U74" s="126">
        <v>0</v>
      </c>
      <c r="V74" s="126">
        <v>0</v>
      </c>
      <c r="W74" s="126">
        <v>0</v>
      </c>
      <c r="X74" s="126">
        <v>0</v>
      </c>
      <c r="Y74" s="126">
        <v>0</v>
      </c>
      <c r="Z74" s="126">
        <v>0</v>
      </c>
      <c r="AA74" s="126">
        <v>0</v>
      </c>
      <c r="AB74" s="43">
        <f t="shared" si="38"/>
        <v>0</v>
      </c>
      <c r="AC74" s="43">
        <f t="shared" si="46"/>
        <v>0</v>
      </c>
      <c r="AD74" s="126"/>
      <c r="AE74" s="126">
        <v>0</v>
      </c>
      <c r="AF74" s="126">
        <v>0</v>
      </c>
      <c r="AG74" s="126">
        <v>0</v>
      </c>
      <c r="AH74" s="126">
        <v>0</v>
      </c>
      <c r="AI74" s="126">
        <v>0</v>
      </c>
      <c r="AJ74" s="21">
        <f t="shared" si="33"/>
        <v>0</v>
      </c>
      <c r="AK74" s="22">
        <f t="shared" si="40"/>
        <v>0</v>
      </c>
      <c r="AL74" s="42">
        <f t="shared" si="41"/>
        <v>0</v>
      </c>
      <c r="AM74" s="42">
        <f t="shared" si="27"/>
        <v>0</v>
      </c>
      <c r="AN74" s="32">
        <v>508</v>
      </c>
      <c r="AO74" s="126">
        <v>29.9</v>
      </c>
      <c r="AP74" s="126">
        <v>0</v>
      </c>
      <c r="AQ74" s="126">
        <f>3735.63-485.63</f>
        <v>3250</v>
      </c>
      <c r="AR74" s="126">
        <v>0</v>
      </c>
      <c r="AS74" s="126">
        <v>0</v>
      </c>
      <c r="AT74" s="126">
        <v>0</v>
      </c>
      <c r="AU74" s="126">
        <v>0</v>
      </c>
      <c r="AV74" s="126">
        <v>0</v>
      </c>
      <c r="AW74" s="59">
        <v>0</v>
      </c>
      <c r="AX74" s="21">
        <v>0</v>
      </c>
      <c r="AY74" s="59">
        <v>0</v>
      </c>
      <c r="AZ74" s="59">
        <v>0</v>
      </c>
      <c r="BA74" s="126">
        <v>0</v>
      </c>
      <c r="BB74" s="59">
        <f t="shared" si="23"/>
        <v>29.9</v>
      </c>
      <c r="BC74" s="23">
        <f t="shared" si="42"/>
        <v>18439.199999999997</v>
      </c>
      <c r="BD74" s="40">
        <f t="shared" si="43"/>
        <v>18439.199999999997</v>
      </c>
      <c r="BE74" s="40">
        <f t="shared" si="44"/>
        <v>18439.199999999997</v>
      </c>
      <c r="BF74" s="32">
        <f t="shared" si="47"/>
        <v>508</v>
      </c>
      <c r="BG74" s="59">
        <v>0</v>
      </c>
      <c r="BH74" s="59">
        <v>0</v>
      </c>
      <c r="BI74" s="59">
        <v>0</v>
      </c>
      <c r="BJ74" s="59">
        <v>0</v>
      </c>
      <c r="BK74" s="59">
        <v>0</v>
      </c>
      <c r="BL74" s="28">
        <f t="shared" si="48"/>
        <v>15189.199999999999</v>
      </c>
      <c r="BM74" s="30">
        <v>0</v>
      </c>
      <c r="BN74" s="30"/>
      <c r="BO74" s="59"/>
      <c r="BP74" s="59">
        <v>1500</v>
      </c>
      <c r="BQ74" s="59">
        <v>0</v>
      </c>
      <c r="BR74" s="59">
        <v>280</v>
      </c>
      <c r="BS74" s="59">
        <v>0</v>
      </c>
      <c r="BT74" s="59">
        <v>0</v>
      </c>
      <c r="BU74" s="59">
        <v>0</v>
      </c>
      <c r="BV74" s="59">
        <v>200</v>
      </c>
      <c r="BW74" s="59"/>
      <c r="BX74" s="59"/>
      <c r="BY74" s="59"/>
      <c r="BZ74" s="59"/>
      <c r="CA74" s="59"/>
      <c r="CB74" s="59"/>
      <c r="CC74" s="59"/>
      <c r="CD74" s="59">
        <v>4073.71</v>
      </c>
      <c r="CE74" s="59"/>
      <c r="CF74" s="59"/>
      <c r="CG74" s="59">
        <v>720</v>
      </c>
      <c r="CH74" s="59"/>
      <c r="CI74" s="34">
        <f t="shared" si="35"/>
        <v>9223.7099999999991</v>
      </c>
      <c r="CJ74" s="32"/>
      <c r="CK74" s="32"/>
      <c r="CM74" s="30"/>
      <c r="CN74" s="30"/>
      <c r="CO74" s="30"/>
      <c r="CP74" s="30"/>
    </row>
    <row r="75" spans="1:94">
      <c r="A75" s="157">
        <v>74</v>
      </c>
      <c r="B75" s="135">
        <v>45605</v>
      </c>
      <c r="C75" s="136" t="s">
        <v>378</v>
      </c>
      <c r="D75" s="136"/>
      <c r="E75" s="136" t="s">
        <v>151</v>
      </c>
      <c r="F75" s="136" t="s">
        <v>13</v>
      </c>
      <c r="G75" s="136" t="s">
        <v>8</v>
      </c>
      <c r="H75" s="136">
        <v>535</v>
      </c>
      <c r="I75" s="136" t="s">
        <v>9</v>
      </c>
      <c r="J75" s="30"/>
      <c r="K75" s="126">
        <f>15937</f>
        <v>15937</v>
      </c>
      <c r="L75" s="126">
        <v>1800</v>
      </c>
      <c r="M75" s="126">
        <v>0</v>
      </c>
      <c r="N75" s="126">
        <v>8300</v>
      </c>
      <c r="O75" s="126">
        <v>2530</v>
      </c>
      <c r="P75" s="126">
        <v>0</v>
      </c>
      <c r="Q75" s="126">
        <v>0</v>
      </c>
      <c r="R75" s="126">
        <v>0</v>
      </c>
      <c r="S75" s="126">
        <v>0</v>
      </c>
      <c r="T75" s="126">
        <v>0</v>
      </c>
      <c r="U75" s="126">
        <v>0</v>
      </c>
      <c r="V75" s="126">
        <v>0</v>
      </c>
      <c r="W75" s="126">
        <v>0</v>
      </c>
      <c r="X75" s="126">
        <v>0</v>
      </c>
      <c r="Y75" s="126">
        <v>0</v>
      </c>
      <c r="Z75" s="126">
        <v>0</v>
      </c>
      <c r="AA75" s="126">
        <v>0</v>
      </c>
      <c r="AB75" s="43">
        <f t="shared" si="38"/>
        <v>28567</v>
      </c>
      <c r="AC75" s="43">
        <f t="shared" si="46"/>
        <v>28567</v>
      </c>
      <c r="AD75" s="59">
        <v>27</v>
      </c>
      <c r="AE75" s="59">
        <f>14.75+11</f>
        <v>25.75</v>
      </c>
      <c r="AF75" s="126">
        <v>0</v>
      </c>
      <c r="AG75" s="126">
        <v>0</v>
      </c>
      <c r="AH75" s="126">
        <v>0</v>
      </c>
      <c r="AI75" s="126">
        <v>0</v>
      </c>
      <c r="AJ75" s="21">
        <f>AD75+AE75</f>
        <v>52.75</v>
      </c>
      <c r="AK75" s="22">
        <f t="shared" si="40"/>
        <v>37980</v>
      </c>
      <c r="AL75" s="42">
        <f t="shared" si="41"/>
        <v>37980</v>
      </c>
      <c r="AM75" s="42">
        <f t="shared" si="27"/>
        <v>66547</v>
      </c>
      <c r="AN75" s="32">
        <v>720</v>
      </c>
      <c r="AO75" s="126">
        <v>99</v>
      </c>
      <c r="AP75" s="126">
        <f>9+0.03194444444</f>
        <v>9.0319444444400006</v>
      </c>
      <c r="AQ75" s="126">
        <v>850</v>
      </c>
      <c r="AR75" s="126">
        <v>0</v>
      </c>
      <c r="AS75" s="126">
        <v>0</v>
      </c>
      <c r="AT75" s="126">
        <v>0</v>
      </c>
      <c r="AU75" s="126">
        <v>0</v>
      </c>
      <c r="AV75" s="126">
        <v>0</v>
      </c>
      <c r="AW75" s="126">
        <v>0</v>
      </c>
      <c r="AX75" s="21">
        <v>0</v>
      </c>
      <c r="AY75" s="126">
        <v>0</v>
      </c>
      <c r="AZ75" s="126">
        <v>0</v>
      </c>
      <c r="BA75" s="126">
        <v>0</v>
      </c>
      <c r="BB75" s="126">
        <f t="shared" si="23"/>
        <v>108.03194444444</v>
      </c>
      <c r="BC75" s="23">
        <f t="shared" si="42"/>
        <v>116612.9999999968</v>
      </c>
      <c r="BD75" s="40">
        <f t="shared" si="43"/>
        <v>145179.9999999968</v>
      </c>
      <c r="BE75" s="40">
        <f t="shared" si="44"/>
        <v>145179.9999999968</v>
      </c>
      <c r="BF75" s="32">
        <f t="shared" si="47"/>
        <v>720</v>
      </c>
      <c r="BG75" s="59">
        <v>0</v>
      </c>
      <c r="BH75" s="59">
        <v>0</v>
      </c>
      <c r="BI75" s="59">
        <v>0</v>
      </c>
      <c r="BJ75" s="59">
        <v>0</v>
      </c>
      <c r="BK75" s="59">
        <v>0</v>
      </c>
      <c r="BL75" s="28">
        <f t="shared" si="48"/>
        <v>71280</v>
      </c>
      <c r="BM75" s="30">
        <v>0</v>
      </c>
      <c r="BN75" s="30"/>
      <c r="BO75" s="59"/>
      <c r="BP75" s="59">
        <v>3950</v>
      </c>
      <c r="BQ75" s="59">
        <v>0</v>
      </c>
      <c r="BR75" s="59">
        <v>2240</v>
      </c>
      <c r="BS75" s="59">
        <v>0</v>
      </c>
      <c r="BT75" s="59">
        <v>2227.5</v>
      </c>
      <c r="BU75" s="59">
        <v>230</v>
      </c>
      <c r="BV75" s="59">
        <v>450</v>
      </c>
      <c r="BW75" s="59"/>
      <c r="BX75" s="59"/>
      <c r="BY75" s="59"/>
      <c r="BZ75" s="59"/>
      <c r="CA75" s="59"/>
      <c r="CB75" s="59"/>
      <c r="CC75" s="59"/>
      <c r="CD75" s="59">
        <f>5774+6490.8</f>
        <v>12264.8</v>
      </c>
      <c r="CE75" s="59"/>
      <c r="CF75" s="59"/>
      <c r="CG75" s="59">
        <f>1160+680</f>
        <v>1840</v>
      </c>
      <c r="CH75" s="59"/>
      <c r="CI75" s="34">
        <f t="shared" si="35"/>
        <v>20752.3</v>
      </c>
      <c r="CJ75" s="32"/>
      <c r="CK75" s="32"/>
      <c r="CM75" s="30">
        <v>150</v>
      </c>
      <c r="CN75" s="30"/>
      <c r="CO75" s="30"/>
      <c r="CP75" s="30"/>
    </row>
    <row r="76" spans="1:94">
      <c r="A76" s="157">
        <v>75</v>
      </c>
      <c r="B76" s="135">
        <v>45604</v>
      </c>
      <c r="C76" s="136" t="s">
        <v>158</v>
      </c>
      <c r="D76" s="136" t="s">
        <v>158</v>
      </c>
      <c r="E76" s="136" t="s">
        <v>151</v>
      </c>
      <c r="F76" s="136" t="s">
        <v>13</v>
      </c>
      <c r="G76" s="136" t="s">
        <v>8</v>
      </c>
      <c r="H76" s="136">
        <v>534</v>
      </c>
      <c r="I76" s="136" t="s">
        <v>9</v>
      </c>
      <c r="J76" s="30"/>
      <c r="K76" s="126">
        <f>10000+18000</f>
        <v>28000</v>
      </c>
      <c r="L76" s="126">
        <v>0</v>
      </c>
      <c r="M76" s="126">
        <v>0</v>
      </c>
      <c r="N76" s="59">
        <f>6500</f>
        <v>6500</v>
      </c>
      <c r="O76" s="126">
        <f>2530+77</f>
        <v>2607</v>
      </c>
      <c r="P76" s="126">
        <v>0</v>
      </c>
      <c r="Q76" s="126">
        <v>0</v>
      </c>
      <c r="R76" s="126">
        <v>0</v>
      </c>
      <c r="S76" s="126">
        <v>5250</v>
      </c>
      <c r="T76" s="126">
        <v>0</v>
      </c>
      <c r="U76" s="126">
        <v>0</v>
      </c>
      <c r="V76" s="126">
        <v>0</v>
      </c>
      <c r="W76" s="126">
        <v>0</v>
      </c>
      <c r="X76" s="126">
        <v>0</v>
      </c>
      <c r="Y76" s="126">
        <v>0</v>
      </c>
      <c r="Z76" s="126">
        <v>0</v>
      </c>
      <c r="AA76" s="126">
        <v>0</v>
      </c>
      <c r="AB76" s="43">
        <f t="shared" si="38"/>
        <v>37107</v>
      </c>
      <c r="AC76" s="43">
        <f t="shared" si="46"/>
        <v>37107</v>
      </c>
      <c r="AD76" s="126">
        <v>25</v>
      </c>
      <c r="AE76" s="126">
        <v>0</v>
      </c>
      <c r="AF76" s="126">
        <v>0</v>
      </c>
      <c r="AG76" s="126">
        <v>0</v>
      </c>
      <c r="AH76" s="126">
        <v>0</v>
      </c>
      <c r="AI76" s="126">
        <v>9160</v>
      </c>
      <c r="AJ76" s="21">
        <f t="shared" si="33"/>
        <v>25</v>
      </c>
      <c r="AK76" s="22">
        <f t="shared" si="40"/>
        <v>9750</v>
      </c>
      <c r="AL76" s="42">
        <f t="shared" si="41"/>
        <v>18910</v>
      </c>
      <c r="AM76" s="42">
        <f t="shared" si="27"/>
        <v>56017</v>
      </c>
      <c r="AN76" s="32">
        <v>390</v>
      </c>
      <c r="AO76" s="59">
        <v>71.900000000000006</v>
      </c>
      <c r="AP76" s="126">
        <v>0</v>
      </c>
      <c r="AQ76" s="126">
        <f>11800+55</f>
        <v>11855</v>
      </c>
      <c r="AR76" s="126">
        <v>0</v>
      </c>
      <c r="AS76" s="126">
        <v>0</v>
      </c>
      <c r="AT76" s="126">
        <v>0</v>
      </c>
      <c r="AU76" s="126">
        <v>0</v>
      </c>
      <c r="AV76" s="126">
        <v>0</v>
      </c>
      <c r="AW76" s="126">
        <v>0</v>
      </c>
      <c r="AX76" s="126">
        <v>0</v>
      </c>
      <c r="AY76" s="126">
        <v>0</v>
      </c>
      <c r="AZ76" s="126">
        <v>0</v>
      </c>
      <c r="BA76" s="126">
        <v>0</v>
      </c>
      <c r="BB76" s="126">
        <f t="shared" si="23"/>
        <v>71.900000000000006</v>
      </c>
      <c r="BC76" s="23">
        <f t="shared" si="42"/>
        <v>49646</v>
      </c>
      <c r="BD76" s="40">
        <f t="shared" si="43"/>
        <v>86753</v>
      </c>
      <c r="BE76" s="40">
        <f t="shared" si="44"/>
        <v>95913</v>
      </c>
      <c r="BF76" s="32">
        <v>390</v>
      </c>
      <c r="BG76" s="59">
        <v>0</v>
      </c>
      <c r="BH76" s="59">
        <v>0</v>
      </c>
      <c r="BI76" s="59">
        <v>0</v>
      </c>
      <c r="BJ76" s="59">
        <v>0</v>
      </c>
      <c r="BK76" s="59">
        <v>0</v>
      </c>
      <c r="BL76" s="28">
        <f t="shared" si="48"/>
        <v>28041.000000000004</v>
      </c>
      <c r="BM76" s="30">
        <v>0</v>
      </c>
      <c r="BN76" s="30"/>
      <c r="BO76" s="59">
        <v>275</v>
      </c>
      <c r="BP76" s="59">
        <v>3950</v>
      </c>
      <c r="BQ76" s="59">
        <v>0</v>
      </c>
      <c r="BR76" s="59">
        <v>980</v>
      </c>
      <c r="BS76" s="59">
        <v>0</v>
      </c>
      <c r="BT76" s="59">
        <v>1017.5</v>
      </c>
      <c r="BU76" s="59">
        <v>230</v>
      </c>
      <c r="BV76" s="59">
        <v>450</v>
      </c>
      <c r="BW76" s="59"/>
      <c r="BX76" s="59"/>
      <c r="BY76" s="59"/>
      <c r="BZ76" s="59"/>
      <c r="CA76" s="59"/>
      <c r="CB76" s="59"/>
      <c r="CC76" s="59"/>
      <c r="CD76" s="59">
        <f>3207.8+3606</f>
        <v>6813.8</v>
      </c>
      <c r="CE76" s="59"/>
      <c r="CF76" s="59"/>
      <c r="CG76" s="59"/>
      <c r="CH76" s="59"/>
      <c r="CI76" s="34">
        <f t="shared" si="35"/>
        <v>9766.2999999999993</v>
      </c>
      <c r="CJ76" s="32"/>
      <c r="CK76" s="32"/>
      <c r="CM76" s="30"/>
      <c r="CN76" s="30"/>
      <c r="CO76" s="30"/>
      <c r="CP76" s="30"/>
    </row>
    <row r="77" spans="1:94">
      <c r="A77" s="157">
        <v>76</v>
      </c>
      <c r="B77" s="135">
        <v>45635</v>
      </c>
      <c r="C77" s="136" t="s">
        <v>35</v>
      </c>
      <c r="D77" s="136" t="s">
        <v>36</v>
      </c>
      <c r="E77" s="136" t="s">
        <v>151</v>
      </c>
      <c r="F77" s="136" t="s">
        <v>131</v>
      </c>
      <c r="G77" s="136" t="s">
        <v>8</v>
      </c>
      <c r="H77" s="136">
        <v>554</v>
      </c>
      <c r="I77" s="136" t="s">
        <v>9</v>
      </c>
      <c r="J77" s="30"/>
      <c r="K77" s="59">
        <v>0</v>
      </c>
      <c r="L77" s="126">
        <v>0</v>
      </c>
      <c r="M77" s="126">
        <v>0</v>
      </c>
      <c r="N77" s="126">
        <v>0</v>
      </c>
      <c r="O77" s="126">
        <v>0</v>
      </c>
      <c r="P77" s="126">
        <v>0</v>
      </c>
      <c r="Q77" s="126">
        <v>0</v>
      </c>
      <c r="R77" s="126">
        <v>0</v>
      </c>
      <c r="S77" s="126">
        <v>0</v>
      </c>
      <c r="T77" s="126">
        <v>0</v>
      </c>
      <c r="U77" s="126">
        <v>0</v>
      </c>
      <c r="V77" s="126">
        <v>0</v>
      </c>
      <c r="W77" s="126">
        <v>0</v>
      </c>
      <c r="X77" s="126">
        <v>0</v>
      </c>
      <c r="Y77" s="126">
        <v>0</v>
      </c>
      <c r="Z77" s="126">
        <v>0</v>
      </c>
      <c r="AA77" s="126">
        <v>0</v>
      </c>
      <c r="AB77" s="43">
        <f t="shared" si="38"/>
        <v>0</v>
      </c>
      <c r="AC77" s="43">
        <f t="shared" si="46"/>
        <v>0</v>
      </c>
      <c r="AD77" s="126">
        <v>17</v>
      </c>
      <c r="AE77" s="126">
        <v>0</v>
      </c>
      <c r="AF77" s="126">
        <v>0</v>
      </c>
      <c r="AG77" s="59"/>
      <c r="AH77" s="126">
        <v>0</v>
      </c>
      <c r="AI77" s="126">
        <v>0</v>
      </c>
      <c r="AJ77" s="21">
        <f t="shared" si="33"/>
        <v>17</v>
      </c>
      <c r="AK77" s="22">
        <f t="shared" si="40"/>
        <v>10710</v>
      </c>
      <c r="AL77" s="42">
        <f t="shared" si="41"/>
        <v>10710</v>
      </c>
      <c r="AM77" s="42">
        <f t="shared" si="27"/>
        <v>10710</v>
      </c>
      <c r="AN77" s="32">
        <v>630</v>
      </c>
      <c r="AO77" s="59">
        <v>70</v>
      </c>
      <c r="AP77" s="126">
        <v>0</v>
      </c>
      <c r="AQ77" s="126">
        <v>0</v>
      </c>
      <c r="AR77" s="126">
        <v>0</v>
      </c>
      <c r="AS77" s="126">
        <v>0</v>
      </c>
      <c r="AT77" s="126">
        <v>0</v>
      </c>
      <c r="AU77" s="126">
        <v>0</v>
      </c>
      <c r="AV77" s="126">
        <v>0</v>
      </c>
      <c r="AW77" s="126">
        <v>0</v>
      </c>
      <c r="AX77" s="59"/>
      <c r="AY77" s="126">
        <v>0</v>
      </c>
      <c r="AZ77" s="126">
        <v>0</v>
      </c>
      <c r="BA77" s="126">
        <v>0</v>
      </c>
      <c r="BB77" s="126">
        <f t="shared" si="23"/>
        <v>70</v>
      </c>
      <c r="BC77" s="23">
        <f t="shared" si="42"/>
        <v>54810</v>
      </c>
      <c r="BD77" s="40">
        <f t="shared" si="43"/>
        <v>54810</v>
      </c>
      <c r="BE77" s="40">
        <f t="shared" si="44"/>
        <v>54810</v>
      </c>
      <c r="BF77" s="32">
        <f t="shared" si="47"/>
        <v>630</v>
      </c>
      <c r="BG77" s="59">
        <v>0</v>
      </c>
      <c r="BH77" s="59">
        <v>0</v>
      </c>
      <c r="BI77" s="59">
        <v>0</v>
      </c>
      <c r="BJ77" s="59">
        <v>0</v>
      </c>
      <c r="BK77" s="59">
        <v>0</v>
      </c>
      <c r="BL77" s="28">
        <f t="shared" si="48"/>
        <v>44100</v>
      </c>
      <c r="BM77" s="30">
        <v>0</v>
      </c>
      <c r="BN77" s="30"/>
      <c r="BO77" s="59"/>
      <c r="BP77" s="59">
        <v>1500</v>
      </c>
      <c r="BQ77" s="59">
        <v>0</v>
      </c>
      <c r="BR77" s="59">
        <v>180</v>
      </c>
      <c r="BS77" s="59">
        <v>0</v>
      </c>
      <c r="BT77" s="59">
        <v>0</v>
      </c>
      <c r="BU77" s="59">
        <v>0</v>
      </c>
      <c r="BV77" s="59">
        <v>200</v>
      </c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34">
        <f t="shared" si="35"/>
        <v>380</v>
      </c>
      <c r="CJ77" s="32"/>
      <c r="CK77" s="32"/>
      <c r="CM77" s="30"/>
      <c r="CN77" s="30"/>
      <c r="CO77" s="30"/>
      <c r="CP77" s="30"/>
    </row>
    <row r="78" spans="1:94">
      <c r="A78" s="157">
        <v>77</v>
      </c>
      <c r="B78" s="141">
        <v>45550</v>
      </c>
      <c r="C78" s="142" t="s">
        <v>481</v>
      </c>
      <c r="D78" s="142" t="s">
        <v>9</v>
      </c>
      <c r="E78" s="142" t="s">
        <v>151</v>
      </c>
      <c r="F78" s="142" t="s">
        <v>156</v>
      </c>
      <c r="G78" s="142" t="s">
        <v>8</v>
      </c>
      <c r="H78" s="142">
        <v>497</v>
      </c>
      <c r="I78" s="142" t="s">
        <v>9</v>
      </c>
      <c r="J78" s="82"/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83">
        <v>0</v>
      </c>
      <c r="R78" s="83">
        <v>0</v>
      </c>
      <c r="S78" s="83">
        <v>0</v>
      </c>
      <c r="T78" s="83">
        <v>0</v>
      </c>
      <c r="U78" s="83">
        <v>0</v>
      </c>
      <c r="V78" s="83">
        <v>0</v>
      </c>
      <c r="W78" s="83">
        <v>0</v>
      </c>
      <c r="X78" s="83"/>
      <c r="Y78" s="83">
        <v>0</v>
      </c>
      <c r="Z78" s="83">
        <v>0</v>
      </c>
      <c r="AA78" s="83">
        <v>0</v>
      </c>
      <c r="AB78" s="123">
        <f t="shared" si="38"/>
        <v>0</v>
      </c>
      <c r="AC78" s="123">
        <f t="shared" si="46"/>
        <v>0</v>
      </c>
      <c r="AD78" s="83">
        <v>0</v>
      </c>
      <c r="AE78" s="83">
        <v>0</v>
      </c>
      <c r="AF78" s="83">
        <v>0</v>
      </c>
      <c r="AG78" s="83">
        <v>0</v>
      </c>
      <c r="AH78" s="83">
        <v>0</v>
      </c>
      <c r="AI78" s="83">
        <v>0</v>
      </c>
      <c r="AJ78" s="21">
        <f t="shared" si="33"/>
        <v>0</v>
      </c>
      <c r="AK78" s="22">
        <f t="shared" si="40"/>
        <v>0</v>
      </c>
      <c r="AL78" s="124">
        <f t="shared" si="41"/>
        <v>0</v>
      </c>
      <c r="AM78" s="124">
        <f t="shared" si="27"/>
        <v>0</v>
      </c>
      <c r="AN78" s="90">
        <v>60</v>
      </c>
      <c r="AO78" s="83">
        <v>89</v>
      </c>
      <c r="AP78" s="83">
        <v>0</v>
      </c>
      <c r="AQ78" s="83">
        <v>0</v>
      </c>
      <c r="AR78" s="83">
        <v>0</v>
      </c>
      <c r="AS78" s="83">
        <v>0</v>
      </c>
      <c r="AT78" s="83">
        <v>0</v>
      </c>
      <c r="AU78" s="83">
        <v>0</v>
      </c>
      <c r="AV78" s="83">
        <v>0</v>
      </c>
      <c r="AW78" s="83">
        <v>0</v>
      </c>
      <c r="AX78" s="83">
        <v>0</v>
      </c>
      <c r="AY78" s="83">
        <v>0</v>
      </c>
      <c r="AZ78" s="83">
        <v>0</v>
      </c>
      <c r="BA78" s="83">
        <v>0</v>
      </c>
      <c r="BB78" s="127">
        <f t="shared" si="23"/>
        <v>89</v>
      </c>
      <c r="BC78" s="99">
        <f t="shared" si="42"/>
        <v>5340</v>
      </c>
      <c r="BD78" s="40">
        <f t="shared" si="43"/>
        <v>5340</v>
      </c>
      <c r="BE78" s="40">
        <f t="shared" si="44"/>
        <v>5340</v>
      </c>
      <c r="BF78" s="32">
        <f t="shared" si="47"/>
        <v>60</v>
      </c>
      <c r="BG78" s="59">
        <v>0</v>
      </c>
      <c r="BH78" s="59">
        <v>0</v>
      </c>
      <c r="BI78" s="59">
        <v>0</v>
      </c>
      <c r="BJ78" s="59">
        <v>0</v>
      </c>
      <c r="BK78" s="59">
        <v>0</v>
      </c>
      <c r="BL78" s="28">
        <f t="shared" si="48"/>
        <v>5340</v>
      </c>
      <c r="BM78" s="30">
        <v>0</v>
      </c>
      <c r="BN78" s="30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34">
        <f t="shared" si="35"/>
        <v>277975</v>
      </c>
      <c r="CJ78" s="32"/>
      <c r="CK78" s="32"/>
      <c r="CM78" s="30"/>
      <c r="CN78" s="30"/>
      <c r="CO78" s="30"/>
      <c r="CP78" s="30"/>
    </row>
    <row r="79" spans="1:94">
      <c r="A79" s="157">
        <v>78</v>
      </c>
      <c r="B79" s="338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>
        <v>0</v>
      </c>
      <c r="X79" s="82">
        <v>0</v>
      </c>
      <c r="Y79" s="82">
        <v>0</v>
      </c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21">
        <f t="shared" si="33"/>
        <v>0</v>
      </c>
      <c r="AK79" s="22">
        <f t="shared" si="40"/>
        <v>0</v>
      </c>
      <c r="AL79" s="124">
        <f t="shared" si="41"/>
        <v>0</v>
      </c>
      <c r="AM79" s="124">
        <f t="shared" si="27"/>
        <v>0</v>
      </c>
      <c r="AN79" s="90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127">
        <f t="shared" ref="BB79" si="49">AO79+AP79</f>
        <v>0</v>
      </c>
      <c r="BC79" s="82"/>
      <c r="BD79" s="82"/>
      <c r="BE79" s="30"/>
      <c r="BF79" s="32">
        <f t="shared" si="47"/>
        <v>0</v>
      </c>
      <c r="BG79" s="59">
        <v>0</v>
      </c>
      <c r="BH79" s="59">
        <v>0</v>
      </c>
      <c r="BI79" s="59">
        <v>0</v>
      </c>
      <c r="BJ79" s="59">
        <v>0</v>
      </c>
      <c r="BK79" s="59">
        <v>0</v>
      </c>
      <c r="BL79" s="28">
        <f t="shared" si="48"/>
        <v>0</v>
      </c>
      <c r="BM79" s="30">
        <v>0</v>
      </c>
      <c r="BN79" s="30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34">
        <f>CH79+CG79+CF79+CE79+CD79+CC79+CA79+BZ79+CB79+BY79+BX79+BW79+BV79+BU79+BT79+BS79+BR79+BQ79+BP81+BO79</f>
        <v>0</v>
      </c>
      <c r="CJ79" s="32"/>
      <c r="CK79" s="32"/>
      <c r="CM79" s="30"/>
      <c r="CN79" s="30"/>
      <c r="CO79" s="30"/>
      <c r="CP79" s="30"/>
    </row>
    <row r="80" spans="1:94">
      <c r="B80" s="72" t="s">
        <v>492</v>
      </c>
      <c r="C80" s="14" t="s">
        <v>507</v>
      </c>
      <c r="D80" s="148" t="s">
        <v>508</v>
      </c>
      <c r="E80" s="156" t="s">
        <v>509</v>
      </c>
      <c r="K80" s="76">
        <f t="shared" ref="K80:S80" si="50">SUM(K2:K79)</f>
        <v>1009802.45</v>
      </c>
      <c r="L80" s="76">
        <f t="shared" si="50"/>
        <v>58207.64</v>
      </c>
      <c r="M80" s="76">
        <f t="shared" si="50"/>
        <v>66800</v>
      </c>
      <c r="N80" s="76">
        <f t="shared" si="50"/>
        <v>339947</v>
      </c>
      <c r="O80" s="76">
        <f t="shared" si="50"/>
        <v>61137</v>
      </c>
      <c r="P80" s="76">
        <f t="shared" si="50"/>
        <v>3050</v>
      </c>
      <c r="Q80" s="76">
        <f t="shared" si="50"/>
        <v>189122</v>
      </c>
      <c r="R80" s="76">
        <f t="shared" si="50"/>
        <v>17700</v>
      </c>
      <c r="S80" s="76">
        <f t="shared" si="50"/>
        <v>14700</v>
      </c>
      <c r="T80" s="76">
        <f ca="1">SUM(T2:T80)</f>
        <v>13440</v>
      </c>
      <c r="U80" s="76">
        <f>SUM(U2:U79)</f>
        <v>65041.43</v>
      </c>
      <c r="V80" s="76">
        <f>SUM(V2:V79)</f>
        <v>12025</v>
      </c>
      <c r="W80" s="76">
        <f ca="1">SUM(W2:W80)</f>
        <v>9700</v>
      </c>
      <c r="X80" s="76">
        <f t="shared" ref="X80:BC80" si="51">SUM(X2:X79)</f>
        <v>16875</v>
      </c>
      <c r="Y80" s="76">
        <f t="shared" si="51"/>
        <v>1800</v>
      </c>
      <c r="Z80" s="76">
        <f t="shared" si="51"/>
        <v>20159.5</v>
      </c>
      <c r="AA80" s="76">
        <f t="shared" si="51"/>
        <v>10944</v>
      </c>
      <c r="AB80" s="76">
        <f t="shared" si="51"/>
        <v>1759206.09</v>
      </c>
      <c r="AC80" s="76">
        <f t="shared" si="51"/>
        <v>1892051.02</v>
      </c>
      <c r="AD80" s="76">
        <f t="shared" si="51"/>
        <v>1800.4499999999998</v>
      </c>
      <c r="AE80" s="76">
        <f t="shared" si="51"/>
        <v>1017.74</v>
      </c>
      <c r="AF80" s="76">
        <f t="shared" si="51"/>
        <v>90922</v>
      </c>
      <c r="AG80" s="76">
        <f t="shared" si="51"/>
        <v>6500</v>
      </c>
      <c r="AH80" s="76">
        <f t="shared" si="51"/>
        <v>2386</v>
      </c>
      <c r="AI80" s="76">
        <f t="shared" si="51"/>
        <v>22816</v>
      </c>
      <c r="AJ80" s="76">
        <f t="shared" si="51"/>
        <v>2818.1899999999991</v>
      </c>
      <c r="AK80" s="76">
        <f t="shared" si="51"/>
        <v>1406722.25</v>
      </c>
      <c r="AL80" s="76">
        <f t="shared" si="51"/>
        <v>1529346.25</v>
      </c>
      <c r="AM80" s="76">
        <f t="shared" si="51"/>
        <v>3421397.27</v>
      </c>
      <c r="AN80" s="76">
        <f t="shared" si="51"/>
        <v>31900</v>
      </c>
      <c r="AO80" s="76">
        <f t="shared" si="51"/>
        <v>5921.4499999999989</v>
      </c>
      <c r="AP80" s="76">
        <f t="shared" si="51"/>
        <v>181.86194444444001</v>
      </c>
      <c r="AQ80" s="76">
        <f t="shared" si="51"/>
        <v>164700.46</v>
      </c>
      <c r="AR80" s="76">
        <f t="shared" si="51"/>
        <v>37345.5</v>
      </c>
      <c r="AS80" s="76">
        <f t="shared" si="51"/>
        <v>5392.5</v>
      </c>
      <c r="AT80" s="76">
        <f t="shared" si="51"/>
        <v>10550</v>
      </c>
      <c r="AU80" s="76">
        <f t="shared" si="51"/>
        <v>2000</v>
      </c>
      <c r="AV80" s="76">
        <f t="shared" si="51"/>
        <v>2811</v>
      </c>
      <c r="AW80" s="76">
        <f t="shared" si="51"/>
        <v>4202.7913696400001</v>
      </c>
      <c r="AX80" s="76">
        <f t="shared" si="51"/>
        <v>380327.63985958003</v>
      </c>
      <c r="AY80" s="76">
        <f t="shared" si="51"/>
        <v>68471.83</v>
      </c>
      <c r="AZ80" s="76">
        <f t="shared" si="51"/>
        <v>12494.230000000001</v>
      </c>
      <c r="BA80" s="76">
        <f t="shared" si="51"/>
        <v>95596.830000000016</v>
      </c>
      <c r="BB80" s="76">
        <f t="shared" si="51"/>
        <v>5990.8119444444401</v>
      </c>
      <c r="BC80" s="76">
        <f t="shared" si="51"/>
        <v>4262417.3699999973</v>
      </c>
      <c r="BD80" s="76">
        <f t="shared" ref="BD80:CI80" si="52">SUM(BD2:BD79)</f>
        <v>6021623.4599999972</v>
      </c>
      <c r="BE80" s="76" t="e">
        <f t="shared" si="52"/>
        <v>#VALUE!</v>
      </c>
      <c r="BF80" s="76">
        <f t="shared" si="52"/>
        <v>34651</v>
      </c>
      <c r="BG80" s="76">
        <f t="shared" si="52"/>
        <v>72806.641995000013</v>
      </c>
      <c r="BH80" s="76">
        <f t="shared" si="52"/>
        <v>152588.29999999999</v>
      </c>
      <c r="BI80" s="76">
        <f t="shared" si="52"/>
        <v>52108.95</v>
      </c>
      <c r="BJ80" s="76">
        <f t="shared" si="52"/>
        <v>78349.97</v>
      </c>
      <c r="BK80" s="76">
        <f t="shared" si="52"/>
        <v>6251.6</v>
      </c>
      <c r="BL80" s="76">
        <f t="shared" si="52"/>
        <v>2625118.1900000004</v>
      </c>
      <c r="BM80" s="76">
        <f t="shared" si="52"/>
        <v>0</v>
      </c>
      <c r="BN80" s="76">
        <f t="shared" si="52"/>
        <v>0</v>
      </c>
      <c r="BO80" s="76">
        <f t="shared" si="52"/>
        <v>2137</v>
      </c>
      <c r="BP80" s="76">
        <f t="shared" si="52"/>
        <v>277975</v>
      </c>
      <c r="BQ80" s="76">
        <f t="shared" si="52"/>
        <v>8000</v>
      </c>
      <c r="BR80" s="76">
        <f t="shared" si="52"/>
        <v>73041</v>
      </c>
      <c r="BS80" s="76">
        <f t="shared" si="52"/>
        <v>3170</v>
      </c>
      <c r="BT80" s="76">
        <f t="shared" si="52"/>
        <v>27338</v>
      </c>
      <c r="BU80" s="76">
        <f t="shared" si="52"/>
        <v>13150</v>
      </c>
      <c r="BV80" s="76">
        <f t="shared" si="52"/>
        <v>23505</v>
      </c>
      <c r="BW80" s="76">
        <f t="shared" si="52"/>
        <v>18455.490000000002</v>
      </c>
      <c r="BX80" s="76">
        <f t="shared" si="52"/>
        <v>47712.22</v>
      </c>
      <c r="BY80" s="76">
        <f t="shared" si="52"/>
        <v>10941.07</v>
      </c>
      <c r="BZ80" s="76">
        <f t="shared" si="52"/>
        <v>16870</v>
      </c>
      <c r="CA80" s="76">
        <f t="shared" si="52"/>
        <v>4240</v>
      </c>
      <c r="CB80" s="76">
        <f t="shared" si="52"/>
        <v>50063.03</v>
      </c>
      <c r="CC80" s="76">
        <f t="shared" si="52"/>
        <v>0</v>
      </c>
      <c r="CD80" s="76">
        <f t="shared" si="52"/>
        <v>484410.32000000007</v>
      </c>
      <c r="CE80" s="76">
        <f t="shared" si="52"/>
        <v>42479.670000000006</v>
      </c>
      <c r="CF80" s="76">
        <f t="shared" si="52"/>
        <v>0</v>
      </c>
      <c r="CG80" s="76">
        <f t="shared" si="52"/>
        <v>7980</v>
      </c>
      <c r="CH80" s="76">
        <f t="shared" si="52"/>
        <v>19678</v>
      </c>
      <c r="CI80" s="76">
        <f t="shared" si="52"/>
        <v>1402458.5300000003</v>
      </c>
      <c r="CJ80" s="76">
        <f t="shared" ref="CJ80:CP80" si="53">SUM(CJ2:CJ79)</f>
        <v>0</v>
      </c>
      <c r="CK80" s="76">
        <f t="shared" si="53"/>
        <v>0</v>
      </c>
      <c r="CL80" s="76">
        <f t="shared" si="53"/>
        <v>0</v>
      </c>
      <c r="CM80" s="76">
        <f t="shared" si="53"/>
        <v>2526</v>
      </c>
      <c r="CN80" s="76">
        <f t="shared" si="53"/>
        <v>630</v>
      </c>
      <c r="CO80" s="76">
        <f t="shared" si="53"/>
        <v>0</v>
      </c>
      <c r="CP80" s="76">
        <f t="shared" si="53"/>
        <v>0</v>
      </c>
    </row>
    <row r="81" spans="2:58">
      <c r="AM81" s="48">
        <f t="shared" si="27"/>
        <v>0</v>
      </c>
      <c r="BF81" s="70">
        <f t="shared" si="47"/>
        <v>0</v>
      </c>
    </row>
    <row r="82" spans="2:58" ht="15.75" thickBot="1">
      <c r="M82" s="76"/>
      <c r="N82" s="76"/>
      <c r="O82" s="76"/>
      <c r="P82" s="76"/>
      <c r="R82" s="76"/>
      <c r="T82" s="76"/>
      <c r="AM82" s="48">
        <f t="shared" si="27"/>
        <v>0</v>
      </c>
      <c r="BF82" s="70">
        <f t="shared" si="47"/>
        <v>0</v>
      </c>
    </row>
    <row r="83" spans="2:58">
      <c r="B83" s="118" t="s">
        <v>74</v>
      </c>
      <c r="C83" s="129">
        <f>K80</f>
        <v>1009802.45</v>
      </c>
      <c r="E83" s="128" t="s">
        <v>489</v>
      </c>
      <c r="F83" s="129"/>
      <c r="BF83" s="70">
        <f t="shared" si="47"/>
        <v>0</v>
      </c>
    </row>
    <row r="84" spans="2:58">
      <c r="B84" s="131" t="s">
        <v>488</v>
      </c>
      <c r="C84" s="114">
        <f>2</f>
        <v>2</v>
      </c>
      <c r="E84" s="112" t="s">
        <v>490</v>
      </c>
      <c r="F84" s="114"/>
    </row>
    <row r="85" spans="2:58" ht="15.75" thickBot="1">
      <c r="B85" s="130" t="s">
        <v>486</v>
      </c>
      <c r="C85" s="116">
        <f>C83/ (78-C84)</f>
        <v>13286.874342105262</v>
      </c>
      <c r="E85" s="115" t="s">
        <v>491</v>
      </c>
      <c r="F85" s="117"/>
    </row>
    <row r="87" spans="2:58" ht="15.75" thickBot="1"/>
    <row r="88" spans="2:58">
      <c r="B88" s="118" t="s">
        <v>4</v>
      </c>
      <c r="C88" s="111"/>
      <c r="E88" s="118" t="s">
        <v>439</v>
      </c>
      <c r="F88" s="111"/>
    </row>
    <row r="89" spans="2:58">
      <c r="B89" s="112" t="s">
        <v>436</v>
      </c>
      <c r="C89" s="113">
        <f>L80</f>
        <v>58207.64</v>
      </c>
      <c r="E89" s="112" t="s">
        <v>436</v>
      </c>
      <c r="F89" s="113">
        <f ca="1">(T80+X80)</f>
        <v>0</v>
      </c>
    </row>
    <row r="90" spans="2:58">
      <c r="B90" s="112" t="s">
        <v>437</v>
      </c>
      <c r="C90" s="114">
        <v>34440.65</v>
      </c>
      <c r="E90" s="112" t="s">
        <v>437</v>
      </c>
      <c r="F90" s="113">
        <f>BT80</f>
        <v>27338</v>
      </c>
    </row>
    <row r="91" spans="2:58" ht="15.75" thickBot="1">
      <c r="B91" s="115" t="s">
        <v>438</v>
      </c>
      <c r="C91" s="116">
        <f>C89-C90</f>
        <v>23766.989999999998</v>
      </c>
      <c r="E91" s="115" t="s">
        <v>438</v>
      </c>
      <c r="F91" s="117"/>
    </row>
    <row r="92" spans="2:58" ht="15.75" thickBot="1"/>
    <row r="93" spans="2:58">
      <c r="B93" s="118" t="s">
        <v>6</v>
      </c>
      <c r="C93" s="111"/>
      <c r="E93" s="118" t="s">
        <v>445</v>
      </c>
      <c r="F93" s="111"/>
    </row>
    <row r="94" spans="2:58">
      <c r="B94" s="112" t="s">
        <v>436</v>
      </c>
      <c r="C94" s="113">
        <f>M80</f>
        <v>66800</v>
      </c>
      <c r="E94" s="112" t="s">
        <v>436</v>
      </c>
      <c r="F94" s="113">
        <f ca="1">P80+O80+Y80+W80</f>
        <v>0</v>
      </c>
    </row>
    <row r="95" spans="2:58">
      <c r="B95" s="112" t="s">
        <v>437</v>
      </c>
      <c r="C95" s="113">
        <f>BQ80</f>
        <v>8000</v>
      </c>
      <c r="E95" s="112" t="s">
        <v>437</v>
      </c>
      <c r="F95" s="113">
        <f>BR80+BS80+BU80+BV80</f>
        <v>112866</v>
      </c>
    </row>
    <row r="96" spans="2:58" ht="15.75" thickBot="1">
      <c r="B96" s="115" t="s">
        <v>438</v>
      </c>
      <c r="C96" s="116">
        <f>C94-C95</f>
        <v>58800</v>
      </c>
      <c r="E96" s="115" t="s">
        <v>438</v>
      </c>
      <c r="F96" s="116">
        <f ca="1">F94-F95</f>
        <v>-21881</v>
      </c>
    </row>
    <row r="97" spans="2:6" ht="15.75" thickBot="1"/>
    <row r="98" spans="2:6">
      <c r="B98" s="118" t="s">
        <v>5</v>
      </c>
      <c r="C98" s="111"/>
      <c r="E98" s="118" t="s">
        <v>7</v>
      </c>
      <c r="F98" s="111"/>
    </row>
    <row r="99" spans="2:6">
      <c r="B99" s="112" t="s">
        <v>436</v>
      </c>
      <c r="C99" s="113">
        <f>N80+V80</f>
        <v>351972</v>
      </c>
      <c r="E99" s="112" t="s">
        <v>436</v>
      </c>
      <c r="F99" s="113">
        <f>R80+Q80+U80</f>
        <v>271863.43</v>
      </c>
    </row>
    <row r="100" spans="2:6">
      <c r="B100" s="112" t="s">
        <v>437</v>
      </c>
      <c r="C100" s="113">
        <f>BP80</f>
        <v>277975</v>
      </c>
      <c r="E100" s="112" t="s">
        <v>437</v>
      </c>
      <c r="F100" s="113">
        <f>CH80+CG80</f>
        <v>27658</v>
      </c>
    </row>
    <row r="101" spans="2:6" ht="15.75" thickBot="1">
      <c r="B101" s="115" t="s">
        <v>438</v>
      </c>
      <c r="C101" s="116">
        <f>C99-C100</f>
        <v>73997</v>
      </c>
      <c r="E101" s="115" t="s">
        <v>438</v>
      </c>
      <c r="F101" s="117"/>
    </row>
    <row r="103" spans="2:6" ht="15.75" thickBot="1"/>
    <row r="104" spans="2:6">
      <c r="B104" s="118" t="s">
        <v>440</v>
      </c>
      <c r="C104" s="111"/>
      <c r="E104" s="118" t="s">
        <v>443</v>
      </c>
      <c r="F104" s="111"/>
    </row>
    <row r="105" spans="2:6">
      <c r="B105" s="112" t="s">
        <v>436</v>
      </c>
      <c r="C105" s="113">
        <f>Z80+AZ80+BA80+AY80</f>
        <v>196722.39</v>
      </c>
      <c r="E105" s="112" t="s">
        <v>436</v>
      </c>
      <c r="F105" s="113">
        <f>AK80</f>
        <v>1406722.25</v>
      </c>
    </row>
    <row r="106" spans="2:6">
      <c r="B106" s="112" t="s">
        <v>437</v>
      </c>
      <c r="C106" s="114"/>
      <c r="E106" s="112" t="s">
        <v>437</v>
      </c>
      <c r="F106" s="114"/>
    </row>
    <row r="107" spans="2:6" ht="15.75" thickBot="1">
      <c r="B107" s="115" t="s">
        <v>438</v>
      </c>
      <c r="C107" s="117"/>
      <c r="E107" s="115" t="s">
        <v>438</v>
      </c>
      <c r="F107" s="117"/>
    </row>
    <row r="109" spans="2:6" ht="15.75" thickBot="1"/>
    <row r="110" spans="2:6">
      <c r="B110" s="118" t="s">
        <v>444</v>
      </c>
      <c r="C110" s="111"/>
      <c r="E110" s="118" t="s">
        <v>441</v>
      </c>
      <c r="F110" s="111"/>
    </row>
    <row r="111" spans="2:6">
      <c r="B111" s="112" t="s">
        <v>436</v>
      </c>
      <c r="C111" s="113">
        <f>AQ80+AS80+AG80</f>
        <v>176592.96</v>
      </c>
      <c r="E111" s="112" t="s">
        <v>436</v>
      </c>
      <c r="F111" s="113">
        <f>BC80</f>
        <v>4262417.3699999973</v>
      </c>
    </row>
    <row r="112" spans="2:6">
      <c r="B112" s="112" t="s">
        <v>437</v>
      </c>
      <c r="C112" s="114"/>
      <c r="E112" s="112" t="s">
        <v>437</v>
      </c>
      <c r="F112" s="114"/>
    </row>
    <row r="113" spans="2:6" ht="15.75" thickBot="1">
      <c r="B113" s="115" t="s">
        <v>438</v>
      </c>
      <c r="C113" s="117"/>
      <c r="E113" s="115" t="s">
        <v>438</v>
      </c>
      <c r="F113" s="117"/>
    </row>
    <row r="115" spans="2:6" ht="15.75" thickBot="1"/>
    <row r="116" spans="2:6">
      <c r="B116" s="118" t="s">
        <v>442</v>
      </c>
      <c r="C116" s="111"/>
      <c r="E116" s="118" t="s">
        <v>482</v>
      </c>
      <c r="F116" s="111"/>
    </row>
    <row r="117" spans="2:6">
      <c r="B117" s="112" t="s">
        <v>436</v>
      </c>
      <c r="C117" s="114"/>
      <c r="E117" s="112" t="s">
        <v>483</v>
      </c>
      <c r="F117" s="114">
        <f>78</f>
        <v>78</v>
      </c>
    </row>
    <row r="118" spans="2:6">
      <c r="B118" s="112" t="s">
        <v>437</v>
      </c>
      <c r="C118" s="113">
        <f>BG80+BH80+BI80+BJ80+BK80</f>
        <v>362105.46199500002</v>
      </c>
      <c r="E118" s="112" t="s">
        <v>484</v>
      </c>
      <c r="F118" s="114">
        <v>100</v>
      </c>
    </row>
    <row r="119" spans="2:6" ht="15.75" thickBot="1">
      <c r="B119" s="115" t="s">
        <v>438</v>
      </c>
      <c r="C119" s="117"/>
      <c r="E119" s="115" t="s">
        <v>485</v>
      </c>
      <c r="F119" s="117">
        <f>F118-F117</f>
        <v>22</v>
      </c>
    </row>
  </sheetData>
  <pageMargins left="0.23622047244094491" right="0.23622047244094491" top="0.74803149606299213" bottom="0.74803149606299213" header="0.31496062992125984" footer="0.31496062992125984"/>
  <pageSetup paperSize="9" scale="60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40"/>
  <sheetViews>
    <sheetView workbookViewId="0">
      <selection activeCell="C12" sqref="C12"/>
    </sheetView>
  </sheetViews>
  <sheetFormatPr defaultRowHeight="15"/>
  <cols>
    <col min="1" max="1" width="33.7109375" bestFit="1" customWidth="1"/>
    <col min="2" max="2" width="21.28515625" bestFit="1" customWidth="1"/>
    <col min="3" max="3" width="16.28515625" customWidth="1"/>
    <col min="4" max="4" width="17.42578125" bestFit="1" customWidth="1"/>
    <col min="5" max="5" width="13.140625" customWidth="1"/>
    <col min="6" max="6" width="28.42578125" customWidth="1"/>
    <col min="7" max="7" width="20" customWidth="1"/>
    <col min="8" max="8" width="17" customWidth="1"/>
    <col min="9" max="9" width="13.5703125" customWidth="1"/>
    <col min="10" max="10" width="24.85546875" customWidth="1"/>
    <col min="11" max="11" width="13.140625" customWidth="1"/>
    <col min="13" max="13" width="17.42578125" customWidth="1"/>
    <col min="14" max="14" width="19.140625" customWidth="1"/>
    <col min="15" max="15" width="15.7109375" customWidth="1"/>
    <col min="16" max="16" width="18.140625" customWidth="1"/>
    <col min="17" max="17" width="16.28515625" customWidth="1"/>
    <col min="19" max="19" width="14.140625" customWidth="1"/>
    <col min="23" max="23" width="16.5703125" customWidth="1"/>
    <col min="27" max="27" width="14.140625" customWidth="1"/>
    <col min="31" max="31" width="15.140625" customWidth="1"/>
    <col min="34" max="34" width="12" customWidth="1"/>
    <col min="35" max="35" width="14.42578125" customWidth="1"/>
    <col min="43" max="43" width="15.5703125" customWidth="1"/>
    <col min="55" max="55" width="2.85546875" customWidth="1"/>
    <col min="56" max="56" width="17.140625" customWidth="1"/>
  </cols>
  <sheetData>
    <row r="1" spans="1:59">
      <c r="A1" s="168" t="s">
        <v>446</v>
      </c>
      <c r="B1" s="169"/>
      <c r="C1" s="170"/>
      <c r="D1" s="170"/>
      <c r="E1" s="317"/>
      <c r="F1" s="318"/>
      <c r="G1" s="319"/>
      <c r="H1" s="317"/>
      <c r="I1" s="319"/>
      <c r="J1" s="319"/>
      <c r="K1" s="319"/>
      <c r="L1" s="317"/>
      <c r="M1" s="317"/>
      <c r="N1" s="317"/>
      <c r="O1" s="317"/>
      <c r="P1" s="317"/>
      <c r="Q1" s="319"/>
      <c r="R1" s="319"/>
      <c r="S1" s="319"/>
      <c r="T1" s="317"/>
      <c r="U1" s="319"/>
      <c r="V1" s="319"/>
      <c r="W1" s="319"/>
      <c r="X1" s="317"/>
      <c r="Y1" s="319"/>
      <c r="Z1" s="319"/>
      <c r="AA1" s="319"/>
      <c r="AB1" s="317"/>
      <c r="AC1" s="319"/>
      <c r="AD1" s="319"/>
      <c r="AE1" s="319"/>
      <c r="AF1" s="317"/>
      <c r="AG1" s="319"/>
      <c r="AH1" s="319"/>
      <c r="AI1" s="319"/>
      <c r="AJ1" s="317"/>
      <c r="AK1" s="320"/>
      <c r="AL1" s="319"/>
      <c r="AM1" s="319"/>
      <c r="AN1" s="317"/>
      <c r="AO1" s="319"/>
      <c r="AP1" s="319"/>
      <c r="AQ1" s="319"/>
      <c r="AR1" s="317"/>
      <c r="AS1" s="319"/>
      <c r="AT1" s="319"/>
      <c r="AU1" s="319"/>
      <c r="AV1" s="317"/>
      <c r="AW1" s="319"/>
      <c r="AX1" s="319"/>
      <c r="AY1" s="319"/>
      <c r="AZ1" s="317"/>
      <c r="BA1" s="319"/>
      <c r="BB1" s="319"/>
      <c r="BC1" s="319"/>
      <c r="BD1" s="317"/>
      <c r="BE1" s="319"/>
      <c r="BF1" s="321"/>
      <c r="BG1" s="171"/>
    </row>
    <row r="2" spans="1:59">
      <c r="A2" s="172" t="s">
        <v>468</v>
      </c>
      <c r="B2" s="173">
        <f>K20</f>
        <v>9886.5300000000007</v>
      </c>
      <c r="C2" s="174"/>
      <c r="D2" s="174"/>
      <c r="E2" s="297"/>
      <c r="F2" s="298"/>
      <c r="G2" s="351" t="s">
        <v>449</v>
      </c>
      <c r="H2" s="299"/>
      <c r="I2" s="353" t="s">
        <v>450</v>
      </c>
      <c r="J2" s="354"/>
      <c r="K2" s="355"/>
      <c r="L2" s="297"/>
      <c r="M2" s="353" t="s">
        <v>591</v>
      </c>
      <c r="N2" s="354"/>
      <c r="O2" s="355"/>
      <c r="P2" s="297"/>
      <c r="Q2" s="353" t="s">
        <v>592</v>
      </c>
      <c r="R2" s="354"/>
      <c r="S2" s="355"/>
      <c r="T2" s="297"/>
      <c r="U2" s="353" t="s">
        <v>593</v>
      </c>
      <c r="V2" s="354"/>
      <c r="W2" s="355"/>
      <c r="X2" s="297"/>
      <c r="Y2" s="353" t="s">
        <v>594</v>
      </c>
      <c r="Z2" s="354"/>
      <c r="AA2" s="355"/>
      <c r="AB2" s="297"/>
      <c r="AC2" s="353" t="s">
        <v>595</v>
      </c>
      <c r="AD2" s="354"/>
      <c r="AE2" s="355"/>
      <c r="AF2" s="297"/>
      <c r="AG2" s="353" t="s">
        <v>596</v>
      </c>
      <c r="AH2" s="354"/>
      <c r="AI2" s="355"/>
      <c r="AJ2" s="297"/>
      <c r="AK2" s="353" t="s">
        <v>597</v>
      </c>
      <c r="AL2" s="354"/>
      <c r="AM2" s="355"/>
      <c r="AN2" s="297"/>
      <c r="AO2" s="353" t="s">
        <v>598</v>
      </c>
      <c r="AP2" s="354"/>
      <c r="AQ2" s="355"/>
      <c r="AR2" s="297"/>
      <c r="AS2" s="353" t="s">
        <v>599</v>
      </c>
      <c r="AT2" s="354"/>
      <c r="AU2" s="355"/>
      <c r="AV2" s="297"/>
      <c r="AW2" s="353" t="s">
        <v>600</v>
      </c>
      <c r="AX2" s="354"/>
      <c r="AY2" s="355"/>
      <c r="AZ2" s="297"/>
      <c r="BA2" s="353" t="s">
        <v>601</v>
      </c>
      <c r="BB2" s="354"/>
      <c r="BC2" s="355"/>
      <c r="BD2" s="297"/>
      <c r="BE2" s="351" t="s">
        <v>602</v>
      </c>
      <c r="BF2" s="351" t="s">
        <v>603</v>
      </c>
      <c r="BG2" s="175"/>
    </row>
    <row r="3" spans="1:59" ht="30">
      <c r="A3" s="172" t="s">
        <v>448</v>
      </c>
      <c r="B3" s="173">
        <f>O20</f>
        <v>11644.405999999999</v>
      </c>
      <c r="C3" s="174"/>
      <c r="D3" s="174"/>
      <c r="E3" s="297"/>
      <c r="F3" s="298"/>
      <c r="G3" s="352"/>
      <c r="H3" s="299"/>
      <c r="I3" s="300" t="s">
        <v>451</v>
      </c>
      <c r="J3" s="301" t="s">
        <v>452</v>
      </c>
      <c r="K3" s="291" t="s">
        <v>453</v>
      </c>
      <c r="L3" s="297"/>
      <c r="M3" s="300" t="s">
        <v>451</v>
      </c>
      <c r="N3" s="301" t="s">
        <v>452</v>
      </c>
      <c r="O3" s="291" t="s">
        <v>453</v>
      </c>
      <c r="P3" s="297"/>
      <c r="Q3" s="300" t="s">
        <v>451</v>
      </c>
      <c r="R3" s="301" t="s">
        <v>452</v>
      </c>
      <c r="S3" s="291" t="s">
        <v>453</v>
      </c>
      <c r="T3" s="297"/>
      <c r="U3" s="300" t="s">
        <v>451</v>
      </c>
      <c r="V3" s="301" t="s">
        <v>452</v>
      </c>
      <c r="W3" s="291" t="s">
        <v>453</v>
      </c>
      <c r="X3" s="297"/>
      <c r="Y3" s="300" t="s">
        <v>451</v>
      </c>
      <c r="Z3" s="301" t="s">
        <v>452</v>
      </c>
      <c r="AA3" s="291" t="s">
        <v>453</v>
      </c>
      <c r="AB3" s="297"/>
      <c r="AC3" s="300" t="s">
        <v>451</v>
      </c>
      <c r="AD3" s="301" t="s">
        <v>452</v>
      </c>
      <c r="AE3" s="291" t="s">
        <v>453</v>
      </c>
      <c r="AF3" s="297"/>
      <c r="AG3" s="300" t="s">
        <v>451</v>
      </c>
      <c r="AH3" s="301" t="s">
        <v>452</v>
      </c>
      <c r="AI3" s="291" t="s">
        <v>453</v>
      </c>
      <c r="AJ3" s="297"/>
      <c r="AK3" s="302" t="s">
        <v>451</v>
      </c>
      <c r="AL3" s="301" t="s">
        <v>452</v>
      </c>
      <c r="AM3" s="291" t="s">
        <v>453</v>
      </c>
      <c r="AN3" s="297"/>
      <c r="AO3" s="300" t="s">
        <v>451</v>
      </c>
      <c r="AP3" s="301" t="s">
        <v>452</v>
      </c>
      <c r="AQ3" s="291" t="s">
        <v>453</v>
      </c>
      <c r="AR3" s="297"/>
      <c r="AS3" s="300" t="s">
        <v>451</v>
      </c>
      <c r="AT3" s="301" t="s">
        <v>452</v>
      </c>
      <c r="AU3" s="291" t="s">
        <v>453</v>
      </c>
      <c r="AV3" s="297"/>
      <c r="AW3" s="300" t="s">
        <v>451</v>
      </c>
      <c r="AX3" s="301" t="s">
        <v>452</v>
      </c>
      <c r="AY3" s="291" t="s">
        <v>453</v>
      </c>
      <c r="AZ3" s="297"/>
      <c r="BA3" s="300" t="s">
        <v>451</v>
      </c>
      <c r="BB3" s="301" t="s">
        <v>452</v>
      </c>
      <c r="BC3" s="291" t="s">
        <v>453</v>
      </c>
      <c r="BD3" s="297"/>
      <c r="BE3" s="352"/>
      <c r="BF3" s="352"/>
      <c r="BG3" s="175"/>
    </row>
    <row r="4" spans="1:59">
      <c r="A4" s="172" t="s">
        <v>469</v>
      </c>
      <c r="B4" s="173">
        <f>S20</f>
        <v>11526.934999999999</v>
      </c>
      <c r="C4" s="174"/>
      <c r="D4" s="174"/>
      <c r="E4" s="297"/>
      <c r="F4" s="298" t="s">
        <v>454</v>
      </c>
      <c r="G4" s="303" t="s">
        <v>455</v>
      </c>
      <c r="H4" s="299"/>
      <c r="I4" s="322">
        <v>1805.51</v>
      </c>
      <c r="J4" s="304">
        <f>I4*50%</f>
        <v>902.755</v>
      </c>
      <c r="K4" s="304">
        <f>I4*50%</f>
        <v>902.755</v>
      </c>
      <c r="L4" s="305"/>
      <c r="M4" s="322">
        <v>3186.11</v>
      </c>
      <c r="N4" s="304">
        <f>M4*50%</f>
        <v>1593.0550000000001</v>
      </c>
      <c r="O4" s="304">
        <f>M4*50%</f>
        <v>1593.0550000000001</v>
      </c>
      <c r="P4" s="305"/>
      <c r="Q4" s="322">
        <v>3186.11</v>
      </c>
      <c r="R4" s="304">
        <f>Q4*50%</f>
        <v>1593.0550000000001</v>
      </c>
      <c r="S4" s="304">
        <f>Q4*50%</f>
        <v>1593.0550000000001</v>
      </c>
      <c r="T4" s="305"/>
      <c r="U4" s="322">
        <v>3186.11</v>
      </c>
      <c r="V4" s="304">
        <f>U4*50%</f>
        <v>1593.0550000000001</v>
      </c>
      <c r="W4" s="304">
        <f>U4*50%</f>
        <v>1593.0550000000001</v>
      </c>
      <c r="X4" s="305"/>
      <c r="Y4" s="322">
        <v>3186.11</v>
      </c>
      <c r="Z4" s="304">
        <f>Y4*50%</f>
        <v>1593.0550000000001</v>
      </c>
      <c r="AA4" s="304">
        <f>Y4*50%</f>
        <v>1593.0550000000001</v>
      </c>
      <c r="AB4" s="305"/>
      <c r="AC4" s="322">
        <v>3186.11</v>
      </c>
      <c r="AD4" s="304">
        <f>AC4*50%</f>
        <v>1593.0550000000001</v>
      </c>
      <c r="AE4" s="304">
        <f>AC4*50%</f>
        <v>1593.0550000000001</v>
      </c>
      <c r="AF4" s="305"/>
      <c r="AG4" s="322">
        <v>3186.11</v>
      </c>
      <c r="AH4" s="304">
        <f>AG4*50%</f>
        <v>1593.0550000000001</v>
      </c>
      <c r="AI4" s="304">
        <f>AG4*50%</f>
        <v>1593.0550000000001</v>
      </c>
      <c r="AJ4" s="305"/>
      <c r="AK4" s="306">
        <v>3186.11</v>
      </c>
      <c r="AL4" s="304">
        <f>AK4*50%</f>
        <v>1593.0550000000001</v>
      </c>
      <c r="AM4" s="304">
        <f>AK4*50%</f>
        <v>1593.0550000000001</v>
      </c>
      <c r="AN4" s="305"/>
      <c r="AO4" s="307">
        <v>3580</v>
      </c>
      <c r="AP4" s="304">
        <f>AO4*50%</f>
        <v>1790</v>
      </c>
      <c r="AQ4" s="304">
        <f>AO4*50%</f>
        <v>1790</v>
      </c>
      <c r="AR4" s="306"/>
      <c r="AS4" s="307">
        <v>3251.2</v>
      </c>
      <c r="AT4" s="304">
        <f>AS4*50%</f>
        <v>1625.6</v>
      </c>
      <c r="AU4" s="304">
        <f>AS4*50%</f>
        <v>1625.6</v>
      </c>
      <c r="AV4" s="306"/>
      <c r="AW4" s="304">
        <f>2121.18+312.5</f>
        <v>2433.6799999999998</v>
      </c>
      <c r="AX4" s="304">
        <f>AW4*50%</f>
        <v>1216.8399999999999</v>
      </c>
      <c r="AY4" s="304">
        <f>AW4*50%</f>
        <v>1216.8399999999999</v>
      </c>
      <c r="AZ4" s="306"/>
      <c r="BA4" s="304">
        <v>3129.85</v>
      </c>
      <c r="BB4" s="304">
        <f>BA4*50%</f>
        <v>1564.925</v>
      </c>
      <c r="BC4" s="304">
        <f>BA4*50%</f>
        <v>1564.925</v>
      </c>
      <c r="BD4" s="305"/>
      <c r="BE4" s="308">
        <f>IF(BF4="LA ORANA",SUM(BC4+AY4+AU4+AQ4+AM4+AI4+AE4+AA4+W4+S4+O4+K4),(SUM(BB4+AX4+AT4+AP4+AL4+AH4+AD4+Z4+V4+R4+N4+J4)))</f>
        <v>18251.505000000001</v>
      </c>
      <c r="BF4" s="292" t="s">
        <v>453</v>
      </c>
      <c r="BG4" s="175"/>
    </row>
    <row r="5" spans="1:59">
      <c r="A5" s="172" t="s">
        <v>470</v>
      </c>
      <c r="B5" s="173">
        <f>W20</f>
        <v>16616.764999999999</v>
      </c>
      <c r="C5" s="174"/>
      <c r="D5" s="174"/>
      <c r="E5" s="297"/>
      <c r="F5" s="298" t="s">
        <v>454</v>
      </c>
      <c r="G5" s="309" t="s">
        <v>456</v>
      </c>
      <c r="H5" s="299"/>
      <c r="I5" s="306">
        <v>0</v>
      </c>
      <c r="J5" s="304">
        <f>I5*50%</f>
        <v>0</v>
      </c>
      <c r="K5" s="304">
        <f>I5*50%</f>
        <v>0</v>
      </c>
      <c r="L5" s="305"/>
      <c r="M5" s="295">
        <v>0</v>
      </c>
      <c r="N5" s="304"/>
      <c r="O5" s="304"/>
      <c r="P5" s="305"/>
      <c r="Q5" s="305">
        <v>0</v>
      </c>
      <c r="R5" s="304">
        <f>Q5*50%</f>
        <v>0</v>
      </c>
      <c r="S5" s="304">
        <f>Q5*50%</f>
        <v>0</v>
      </c>
      <c r="T5" s="305"/>
      <c r="U5" s="305">
        <v>1167</v>
      </c>
      <c r="V5" s="304">
        <f>U5*50%</f>
        <v>583.5</v>
      </c>
      <c r="W5" s="304">
        <f>U5*50%</f>
        <v>583.5</v>
      </c>
      <c r="X5" s="305"/>
      <c r="Y5" s="305">
        <v>2500</v>
      </c>
      <c r="Z5" s="304">
        <f>Y5*50%</f>
        <v>1250</v>
      </c>
      <c r="AA5" s="304">
        <f>Y5*50%</f>
        <v>1250</v>
      </c>
      <c r="AB5" s="305"/>
      <c r="AC5" s="305">
        <v>2500</v>
      </c>
      <c r="AD5" s="304">
        <f>AC5*50%</f>
        <v>1250</v>
      </c>
      <c r="AE5" s="304">
        <f>AC5*50%</f>
        <v>1250</v>
      </c>
      <c r="AF5" s="305"/>
      <c r="AG5" s="305">
        <v>2500</v>
      </c>
      <c r="AH5" s="304">
        <f>AG5*50%</f>
        <v>1250</v>
      </c>
      <c r="AI5" s="304">
        <f>AG5*50%</f>
        <v>1250</v>
      </c>
      <c r="AJ5" s="305"/>
      <c r="AK5" s="306">
        <v>1250</v>
      </c>
      <c r="AL5" s="304">
        <f>AK5*50%</f>
        <v>625</v>
      </c>
      <c r="AM5" s="304">
        <f>AK5*50%</f>
        <v>625</v>
      </c>
      <c r="AN5" s="305"/>
      <c r="AO5" s="306">
        <f>600+1250</f>
        <v>1850</v>
      </c>
      <c r="AP5" s="304">
        <f>AO5*50%</f>
        <v>925</v>
      </c>
      <c r="AQ5" s="304">
        <f>AO5*50%</f>
        <v>925</v>
      </c>
      <c r="AR5" s="306"/>
      <c r="AS5" s="306">
        <v>3507.44</v>
      </c>
      <c r="AT5" s="304">
        <f>AS5*50%</f>
        <v>1753.72</v>
      </c>
      <c r="AU5" s="304">
        <f>AS5*50%</f>
        <v>1753.72</v>
      </c>
      <c r="AV5" s="306"/>
      <c r="AW5" s="306"/>
      <c r="AX5" s="304">
        <f>AW5*50%</f>
        <v>0</v>
      </c>
      <c r="AY5" s="304">
        <f>AW5*50%</f>
        <v>0</v>
      </c>
      <c r="AZ5" s="306"/>
      <c r="BA5" s="306"/>
      <c r="BB5" s="304">
        <f>BA5*50%</f>
        <v>0</v>
      </c>
      <c r="BC5" s="304">
        <f>BA5*50%</f>
        <v>0</v>
      </c>
      <c r="BD5" s="305"/>
      <c r="BE5" s="310">
        <f>IF(BF5="LA ORANA",SUM(BC5+AY5+AU5+AQ5+AM5+AI5+AE5+AA5+W5+S5+O5+K5),(SUM(BB5+AX5+AT5+AP5+AL5+AH5+AD5+Z5+V5+R5+N5+J5)))</f>
        <v>7637.22</v>
      </c>
      <c r="BF5" s="293" t="s">
        <v>453</v>
      </c>
      <c r="BG5" s="175"/>
    </row>
    <row r="6" spans="1:59">
      <c r="A6" s="172" t="s">
        <v>471</v>
      </c>
      <c r="B6" s="173">
        <f>AA20</f>
        <v>17270.105000000003</v>
      </c>
      <c r="C6" s="174"/>
      <c r="D6" s="174"/>
      <c r="E6" s="297"/>
      <c r="F6" s="298" t="s">
        <v>454</v>
      </c>
      <c r="G6" s="309" t="s">
        <v>457</v>
      </c>
      <c r="H6" s="299"/>
      <c r="I6" s="306">
        <v>2405.21</v>
      </c>
      <c r="J6" s="306"/>
      <c r="K6" s="306"/>
      <c r="L6" s="305"/>
      <c r="M6" s="306">
        <v>3200</v>
      </c>
      <c r="N6" s="306"/>
      <c r="O6" s="306"/>
      <c r="P6" s="305"/>
      <c r="Q6" s="305">
        <v>2888.99</v>
      </c>
      <c r="R6" s="306"/>
      <c r="S6" s="306"/>
      <c r="T6" s="305"/>
      <c r="U6" s="305">
        <v>2888.99</v>
      </c>
      <c r="V6" s="306"/>
      <c r="W6" s="306"/>
      <c r="X6" s="305"/>
      <c r="Y6" s="305">
        <v>2888.99</v>
      </c>
      <c r="Z6" s="306"/>
      <c r="AA6" s="306"/>
      <c r="AB6" s="305"/>
      <c r="AC6" s="305">
        <v>2888.99</v>
      </c>
      <c r="AD6" s="306"/>
      <c r="AE6" s="306"/>
      <c r="AF6" s="305"/>
      <c r="AG6" s="305">
        <v>2888.99</v>
      </c>
      <c r="AH6" s="306"/>
      <c r="AI6" s="306"/>
      <c r="AJ6" s="305"/>
      <c r="AK6" s="306">
        <v>2888.89</v>
      </c>
      <c r="AL6" s="306"/>
      <c r="AM6" s="306"/>
      <c r="AN6" s="305"/>
      <c r="AO6" s="306">
        <v>2888.89</v>
      </c>
      <c r="AP6" s="304"/>
      <c r="AQ6" s="304"/>
      <c r="AR6" s="306"/>
      <c r="AS6" s="306">
        <f>350+2888.99</f>
        <v>3238.99</v>
      </c>
      <c r="AT6" s="304"/>
      <c r="AU6" s="304"/>
      <c r="AV6" s="306"/>
      <c r="AW6" s="306">
        <v>2888.99</v>
      </c>
      <c r="AX6" s="304"/>
      <c r="AY6" s="304"/>
      <c r="AZ6" s="306"/>
      <c r="BA6" s="306">
        <v>3130.38</v>
      </c>
      <c r="BB6" s="304"/>
      <c r="BC6" s="304"/>
      <c r="BD6" s="305"/>
      <c r="BE6" s="310">
        <f t="shared" ref="BE6:BE16" si="0">IF(BF6="LA ORANA",SUM(BC6+AY6+AU6+AQ6+AM6+AI6+AE6+AA6+W6+S6+O6+K6),(SUM(BB6+AX6+AT6+AP6+AL6+AH6+AD6+Z6+V6+R6+N6+J6)))</f>
        <v>0</v>
      </c>
      <c r="BF6" s="293" t="s">
        <v>453</v>
      </c>
      <c r="BG6" s="175"/>
    </row>
    <row r="7" spans="1:59">
      <c r="A7" s="172" t="s">
        <v>472</v>
      </c>
      <c r="B7" s="173">
        <v>17273.97</v>
      </c>
      <c r="C7" s="344"/>
      <c r="D7" s="174"/>
      <c r="E7" s="297"/>
      <c r="F7" s="298"/>
      <c r="G7" s="309" t="s">
        <v>604</v>
      </c>
      <c r="H7" s="299"/>
      <c r="I7" s="306">
        <v>805.51</v>
      </c>
      <c r="J7" s="304">
        <f t="shared" ref="J7:J12" si="1">I7*50%</f>
        <v>402.755</v>
      </c>
      <c r="K7" s="304">
        <f t="shared" ref="K7:K12" si="2">I7*50%</f>
        <v>402.755</v>
      </c>
      <c r="L7" s="305"/>
      <c r="M7" s="306">
        <v>3186.1</v>
      </c>
      <c r="N7" s="304">
        <f>M7*50%</f>
        <v>1593.05</v>
      </c>
      <c r="O7" s="304">
        <f>M7*50%</f>
        <v>1593.05</v>
      </c>
      <c r="P7" s="305"/>
      <c r="Q7" s="305">
        <v>3186.11</v>
      </c>
      <c r="R7" s="304">
        <f>Q7*50%</f>
        <v>1593.0550000000001</v>
      </c>
      <c r="S7" s="304">
        <f>Q7*50%</f>
        <v>1593.0550000000001</v>
      </c>
      <c r="T7" s="305"/>
      <c r="U7" s="305">
        <v>3186.11</v>
      </c>
      <c r="V7" s="304">
        <f t="shared" ref="V7:V12" si="3">U7*50%</f>
        <v>1593.0550000000001</v>
      </c>
      <c r="W7" s="304">
        <f t="shared" ref="W7:W12" si="4">U7*50%</f>
        <v>1593.0550000000001</v>
      </c>
      <c r="X7" s="305"/>
      <c r="Y7" s="305">
        <v>3186.11</v>
      </c>
      <c r="Z7" s="304">
        <f t="shared" ref="Z7:Z12" si="5">Y7*50%</f>
        <v>1593.0550000000001</v>
      </c>
      <c r="AA7" s="304">
        <f t="shared" ref="AA7:AA12" si="6">Y7*50%</f>
        <v>1593.0550000000001</v>
      </c>
      <c r="AB7" s="305"/>
      <c r="AC7" s="305">
        <v>3186.11</v>
      </c>
      <c r="AD7" s="304">
        <f t="shared" ref="AD7:AD12" si="7">AC7*50%</f>
        <v>1593.0550000000001</v>
      </c>
      <c r="AE7" s="304">
        <f t="shared" ref="AE7:AE12" si="8">AC7*50%</f>
        <v>1593.0550000000001</v>
      </c>
      <c r="AF7" s="305"/>
      <c r="AG7" s="305">
        <v>3186.11</v>
      </c>
      <c r="AH7" s="304">
        <f t="shared" ref="AH7:AH12" si="9">AG7*50%</f>
        <v>1593.0550000000001</v>
      </c>
      <c r="AI7" s="304">
        <f t="shared" ref="AI7:AI12" si="10">AG7*50%</f>
        <v>1593.0550000000001</v>
      </c>
      <c r="AJ7" s="305"/>
      <c r="AK7" s="306">
        <v>3186.11</v>
      </c>
      <c r="AL7" s="304">
        <f>AK7*50%</f>
        <v>1593.0550000000001</v>
      </c>
      <c r="AM7" s="304">
        <f>AK7*50%</f>
        <v>1593.0550000000001</v>
      </c>
      <c r="AN7" s="305"/>
      <c r="AO7" s="306">
        <v>3580</v>
      </c>
      <c r="AP7" s="304">
        <f>AO7*50%</f>
        <v>1790</v>
      </c>
      <c r="AQ7" s="304">
        <f>AO7*50%</f>
        <v>1790</v>
      </c>
      <c r="AR7" s="306"/>
      <c r="AS7" s="306">
        <f>1050+2121.18</f>
        <v>3171.18</v>
      </c>
      <c r="AT7" s="304">
        <f>AS7*50%</f>
        <v>1585.59</v>
      </c>
      <c r="AU7" s="304">
        <f>AS7*50%</f>
        <v>1585.59</v>
      </c>
      <c r="AV7" s="306"/>
      <c r="AW7" s="306">
        <v>3129.85</v>
      </c>
      <c r="AX7" s="304">
        <f>AW7*50%</f>
        <v>1564.925</v>
      </c>
      <c r="AY7" s="304">
        <f>AW7*50%</f>
        <v>1564.925</v>
      </c>
      <c r="AZ7" s="306"/>
      <c r="BA7" s="306">
        <v>3129.85</v>
      </c>
      <c r="BB7" s="304">
        <f>BA7*50%</f>
        <v>1564.925</v>
      </c>
      <c r="BC7" s="304">
        <f>BA7*50%</f>
        <v>1564.925</v>
      </c>
      <c r="BD7" s="305"/>
      <c r="BE7" s="310">
        <f t="shared" si="0"/>
        <v>18059.575000000001</v>
      </c>
      <c r="BF7" s="293" t="s">
        <v>453</v>
      </c>
      <c r="BG7" s="175"/>
    </row>
    <row r="8" spans="1:59">
      <c r="A8" s="172" t="s">
        <v>473</v>
      </c>
      <c r="B8" s="173">
        <f>AI20</f>
        <v>17283.517</v>
      </c>
      <c r="C8" s="345">
        <f>SUM(B2:B8)</f>
        <v>101502.228</v>
      </c>
      <c r="D8" s="346"/>
      <c r="E8" s="297"/>
      <c r="F8" s="298" t="s">
        <v>454</v>
      </c>
      <c r="G8" s="309" t="s">
        <v>458</v>
      </c>
      <c r="H8" s="299"/>
      <c r="I8" s="306">
        <v>0</v>
      </c>
      <c r="J8" s="304">
        <f t="shared" si="1"/>
        <v>0</v>
      </c>
      <c r="K8" s="304">
        <f t="shared" si="2"/>
        <v>0</v>
      </c>
      <c r="L8" s="305"/>
      <c r="M8" s="306">
        <v>0</v>
      </c>
      <c r="N8" s="304">
        <f>0*50%</f>
        <v>0</v>
      </c>
      <c r="O8" s="304">
        <f>0*50%</f>
        <v>0</v>
      </c>
      <c r="P8" s="305"/>
      <c r="Q8" s="305">
        <v>0</v>
      </c>
      <c r="R8" s="304">
        <f>Q8*50%</f>
        <v>0</v>
      </c>
      <c r="S8" s="304">
        <f>Q8*50%</f>
        <v>0</v>
      </c>
      <c r="T8" s="305"/>
      <c r="U8" s="305">
        <v>5000</v>
      </c>
      <c r="V8" s="304">
        <f t="shared" si="3"/>
        <v>2500</v>
      </c>
      <c r="W8" s="304">
        <f t="shared" si="4"/>
        <v>2500</v>
      </c>
      <c r="X8" s="305"/>
      <c r="Y8" s="305">
        <v>5000</v>
      </c>
      <c r="Z8" s="304">
        <f t="shared" si="5"/>
        <v>2500</v>
      </c>
      <c r="AA8" s="304">
        <f t="shared" si="6"/>
        <v>2500</v>
      </c>
      <c r="AB8" s="305"/>
      <c r="AC8" s="305">
        <v>5000</v>
      </c>
      <c r="AD8" s="304">
        <f t="shared" si="7"/>
        <v>2500</v>
      </c>
      <c r="AE8" s="304">
        <f t="shared" si="8"/>
        <v>2500</v>
      </c>
      <c r="AF8" s="305"/>
      <c r="AG8" s="305">
        <v>5000</v>
      </c>
      <c r="AH8" s="304">
        <f t="shared" si="9"/>
        <v>2500</v>
      </c>
      <c r="AI8" s="304">
        <f t="shared" si="10"/>
        <v>2500</v>
      </c>
      <c r="AJ8" s="305"/>
      <c r="AK8" s="306">
        <v>3500</v>
      </c>
      <c r="AL8" s="304">
        <f>AK8*50%</f>
        <v>1750</v>
      </c>
      <c r="AM8" s="304">
        <f>AK8*50%</f>
        <v>1750</v>
      </c>
      <c r="AN8" s="305"/>
      <c r="AO8" s="306"/>
      <c r="AP8" s="304">
        <f>AO8*50%</f>
        <v>0</v>
      </c>
      <c r="AQ8" s="304">
        <f>AO8*50%</f>
        <v>0</v>
      </c>
      <c r="AR8" s="306"/>
      <c r="AS8" s="306">
        <v>1500</v>
      </c>
      <c r="AT8" s="304">
        <f>AS8*50%</f>
        <v>750</v>
      </c>
      <c r="AU8" s="304">
        <f>AS8*50%</f>
        <v>750</v>
      </c>
      <c r="AV8" s="306"/>
      <c r="AW8" s="306">
        <f>1600+2888.99</f>
        <v>4488.99</v>
      </c>
      <c r="AX8" s="304">
        <f>AW8*50%</f>
        <v>2244.4949999999999</v>
      </c>
      <c r="AY8" s="304">
        <f>AW8*50%</f>
        <v>2244.4949999999999</v>
      </c>
      <c r="AZ8" s="306"/>
      <c r="BA8" s="306"/>
      <c r="BB8" s="304">
        <f>AZ8*50%</f>
        <v>0</v>
      </c>
      <c r="BC8" s="304">
        <f>BA8*50%</f>
        <v>0</v>
      </c>
      <c r="BD8" s="305"/>
      <c r="BE8" s="310">
        <f t="shared" si="0"/>
        <v>14744.494999999999</v>
      </c>
      <c r="BF8" s="293" t="s">
        <v>453</v>
      </c>
      <c r="BG8" s="175"/>
    </row>
    <row r="9" spans="1:59">
      <c r="A9" s="172" t="s">
        <v>474</v>
      </c>
      <c r="B9" s="173">
        <f>AM20</f>
        <v>17800.090000000004</v>
      </c>
      <c r="C9" s="345">
        <v>9408.98</v>
      </c>
      <c r="D9" s="346" t="s">
        <v>616</v>
      </c>
      <c r="E9" s="297"/>
      <c r="F9" s="298" t="s">
        <v>454</v>
      </c>
      <c r="G9" s="309" t="s">
        <v>459</v>
      </c>
      <c r="H9" s="299"/>
      <c r="I9" s="306">
        <v>0</v>
      </c>
      <c r="J9" s="304">
        <f t="shared" si="1"/>
        <v>0</v>
      </c>
      <c r="K9" s="304">
        <f t="shared" si="2"/>
        <v>0</v>
      </c>
      <c r="L9" s="305"/>
      <c r="M9" s="306">
        <v>0</v>
      </c>
      <c r="N9" s="304">
        <f>M9*50%</f>
        <v>0</v>
      </c>
      <c r="O9" s="304">
        <f>M9*50%</f>
        <v>0</v>
      </c>
      <c r="P9" s="305"/>
      <c r="Q9" s="305">
        <v>0</v>
      </c>
      <c r="R9" s="304">
        <f>Q9*50%</f>
        <v>0</v>
      </c>
      <c r="S9" s="304">
        <f>Q9*50%</f>
        <v>0</v>
      </c>
      <c r="T9" s="305"/>
      <c r="U9" s="305">
        <v>3500</v>
      </c>
      <c r="V9" s="304">
        <f t="shared" si="3"/>
        <v>1750</v>
      </c>
      <c r="W9" s="304">
        <f t="shared" si="4"/>
        <v>1750</v>
      </c>
      <c r="X9" s="305"/>
      <c r="Y9" s="305">
        <v>3500</v>
      </c>
      <c r="Z9" s="304">
        <f t="shared" si="5"/>
        <v>1750</v>
      </c>
      <c r="AA9" s="304">
        <f t="shared" si="6"/>
        <v>1750</v>
      </c>
      <c r="AB9" s="305"/>
      <c r="AC9" s="305">
        <v>3500</v>
      </c>
      <c r="AD9" s="304">
        <f t="shared" si="7"/>
        <v>1750</v>
      </c>
      <c r="AE9" s="304">
        <f t="shared" si="8"/>
        <v>1750</v>
      </c>
      <c r="AF9" s="305"/>
      <c r="AG9" s="305">
        <v>3500</v>
      </c>
      <c r="AH9" s="304">
        <f t="shared" si="9"/>
        <v>1750</v>
      </c>
      <c r="AI9" s="304">
        <f t="shared" si="10"/>
        <v>1750</v>
      </c>
      <c r="AJ9" s="305"/>
      <c r="AK9" s="306">
        <v>7443.32</v>
      </c>
      <c r="AL9" s="304">
        <f>AK9*50%</f>
        <v>3721.66</v>
      </c>
      <c r="AM9" s="304">
        <f>AK9*50%</f>
        <v>3721.66</v>
      </c>
      <c r="AN9" s="305"/>
      <c r="AO9" s="306">
        <f>3814.33+2173.49</f>
        <v>5987.82</v>
      </c>
      <c r="AP9" s="304">
        <f>AO9*50%</f>
        <v>2993.91</v>
      </c>
      <c r="AQ9" s="304">
        <f>AO9*50%</f>
        <v>2993.91</v>
      </c>
      <c r="AR9" s="306"/>
      <c r="AS9" s="306"/>
      <c r="AT9" s="304">
        <f>AS9*50%</f>
        <v>0</v>
      </c>
      <c r="AU9" s="304">
        <f>AS9*50%</f>
        <v>0</v>
      </c>
      <c r="AV9" s="306"/>
      <c r="AW9" s="306"/>
      <c r="AX9" s="304">
        <f>AW9*50%</f>
        <v>0</v>
      </c>
      <c r="AY9" s="304">
        <f>AW9*50%</f>
        <v>0</v>
      </c>
      <c r="AZ9" s="306"/>
      <c r="BA9" s="306"/>
      <c r="BB9" s="304">
        <f>BA9*50%</f>
        <v>0</v>
      </c>
      <c r="BC9" s="304">
        <f>BA9*50%</f>
        <v>0</v>
      </c>
      <c r="BD9" s="305"/>
      <c r="BE9" s="310">
        <f t="shared" si="0"/>
        <v>13715.57</v>
      </c>
      <c r="BF9" s="293" t="s">
        <v>453</v>
      </c>
      <c r="BG9" s="175"/>
    </row>
    <row r="10" spans="1:59">
      <c r="A10" s="172" t="s">
        <v>475</v>
      </c>
      <c r="B10" s="173">
        <v>13943.83</v>
      </c>
      <c r="C10" s="345">
        <f>SUM(C8:C9)</f>
        <v>110911.208</v>
      </c>
      <c r="D10" s="346"/>
      <c r="E10" s="297"/>
      <c r="F10" s="298" t="s">
        <v>454</v>
      </c>
      <c r="G10" s="309" t="s">
        <v>460</v>
      </c>
      <c r="H10" s="299"/>
      <c r="I10" s="306">
        <v>1200</v>
      </c>
      <c r="J10" s="304">
        <f t="shared" si="1"/>
        <v>600</v>
      </c>
      <c r="K10" s="304">
        <f t="shared" si="2"/>
        <v>600</v>
      </c>
      <c r="L10" s="305"/>
      <c r="M10" s="306">
        <v>1200</v>
      </c>
      <c r="N10" s="304">
        <f>M10*50%</f>
        <v>600</v>
      </c>
      <c r="O10" s="304">
        <f>M10*50%</f>
        <v>600</v>
      </c>
      <c r="P10" s="305"/>
      <c r="Q10" s="305">
        <v>1200</v>
      </c>
      <c r="R10" s="304">
        <f>Q10*50%</f>
        <v>600</v>
      </c>
      <c r="S10" s="304">
        <f>Q10*50%</f>
        <v>600</v>
      </c>
      <c r="T10" s="305"/>
      <c r="U10" s="305">
        <v>1200</v>
      </c>
      <c r="V10" s="304">
        <f t="shared" si="3"/>
        <v>600</v>
      </c>
      <c r="W10" s="304">
        <f t="shared" si="4"/>
        <v>600</v>
      </c>
      <c r="X10" s="305"/>
      <c r="Y10" s="305">
        <v>1200</v>
      </c>
      <c r="Z10" s="304">
        <f t="shared" si="5"/>
        <v>600</v>
      </c>
      <c r="AA10" s="304">
        <f t="shared" si="6"/>
        <v>600</v>
      </c>
      <c r="AB10" s="305"/>
      <c r="AC10" s="305">
        <v>1200</v>
      </c>
      <c r="AD10" s="304">
        <f t="shared" si="7"/>
        <v>600</v>
      </c>
      <c r="AE10" s="304">
        <f t="shared" si="8"/>
        <v>600</v>
      </c>
      <c r="AF10" s="305"/>
      <c r="AG10" s="305">
        <v>1200</v>
      </c>
      <c r="AH10" s="304">
        <f t="shared" si="9"/>
        <v>600</v>
      </c>
      <c r="AI10" s="304">
        <f t="shared" si="10"/>
        <v>600</v>
      </c>
      <c r="AJ10" s="305"/>
      <c r="AK10" s="306">
        <v>1500</v>
      </c>
      <c r="AL10" s="304">
        <f>AK10*50%</f>
        <v>750</v>
      </c>
      <c r="AM10" s="304">
        <f>AK10*50%</f>
        <v>750</v>
      </c>
      <c r="AN10" s="305"/>
      <c r="AO10" s="306">
        <v>1200</v>
      </c>
      <c r="AP10" s="304">
        <f>AO10*50%</f>
        <v>600</v>
      </c>
      <c r="AQ10" s="304">
        <f>AO10*50%</f>
        <v>600</v>
      </c>
      <c r="AR10" s="306"/>
      <c r="AS10" s="306">
        <v>1200</v>
      </c>
      <c r="AT10" s="304">
        <f>AS10*50%</f>
        <v>600</v>
      </c>
      <c r="AU10" s="304">
        <f>AS10*50%</f>
        <v>600</v>
      </c>
      <c r="AV10" s="306"/>
      <c r="AW10" s="306">
        <v>1200</v>
      </c>
      <c r="AX10" s="304">
        <f>AW10*50%</f>
        <v>600</v>
      </c>
      <c r="AY10" s="304">
        <f>AW10*50%</f>
        <v>600</v>
      </c>
      <c r="AZ10" s="306"/>
      <c r="BA10" s="306">
        <f>1200+600+600</f>
        <v>2400</v>
      </c>
      <c r="BB10" s="304">
        <f>BA10*50%</f>
        <v>1200</v>
      </c>
      <c r="BC10" s="304">
        <f>BA10*50%</f>
        <v>1200</v>
      </c>
      <c r="BD10" s="305"/>
      <c r="BE10" s="310">
        <f t="shared" si="0"/>
        <v>7950</v>
      </c>
      <c r="BF10" s="293" t="s">
        <v>453</v>
      </c>
      <c r="BG10" s="175"/>
    </row>
    <row r="11" spans="1:59">
      <c r="A11" s="172" t="s">
        <v>476</v>
      </c>
      <c r="B11" s="173">
        <f>AU20</f>
        <v>14066.501</v>
      </c>
      <c r="C11" s="347">
        <f>C10+C84+C104</f>
        <v>1577598.7079999999</v>
      </c>
      <c r="D11" s="346" t="s">
        <v>617</v>
      </c>
      <c r="E11" s="297"/>
      <c r="F11" s="298"/>
      <c r="G11" s="309" t="s">
        <v>461</v>
      </c>
      <c r="H11" s="299"/>
      <c r="I11" s="306">
        <v>488.79</v>
      </c>
      <c r="J11" s="306">
        <f t="shared" si="1"/>
        <v>244.39500000000001</v>
      </c>
      <c r="K11" s="306">
        <f t="shared" si="2"/>
        <v>244.39500000000001</v>
      </c>
      <c r="L11" s="305"/>
      <c r="M11" s="306">
        <v>488.79</v>
      </c>
      <c r="N11" s="306"/>
      <c r="O11" s="306"/>
      <c r="P11" s="305"/>
      <c r="Q11" s="305">
        <v>488.79</v>
      </c>
      <c r="R11" s="306"/>
      <c r="S11" s="306"/>
      <c r="T11" s="305"/>
      <c r="U11" s="305">
        <v>488.79</v>
      </c>
      <c r="V11" s="306">
        <f t="shared" si="3"/>
        <v>244.39500000000001</v>
      </c>
      <c r="W11" s="306">
        <f t="shared" si="4"/>
        <v>244.39500000000001</v>
      </c>
      <c r="X11" s="305"/>
      <c r="Y11" s="305">
        <v>488.79</v>
      </c>
      <c r="Z11" s="306">
        <f t="shared" si="5"/>
        <v>244.39500000000001</v>
      </c>
      <c r="AA11" s="306">
        <f t="shared" si="6"/>
        <v>244.39500000000001</v>
      </c>
      <c r="AB11" s="305"/>
      <c r="AC11" s="305">
        <v>488.79</v>
      </c>
      <c r="AD11" s="306">
        <f t="shared" si="7"/>
        <v>244.39500000000001</v>
      </c>
      <c r="AE11" s="306">
        <f t="shared" si="8"/>
        <v>244.39500000000001</v>
      </c>
      <c r="AF11" s="305"/>
      <c r="AG11" s="305">
        <v>488.79</v>
      </c>
      <c r="AH11" s="306">
        <f t="shared" si="9"/>
        <v>244.39500000000001</v>
      </c>
      <c r="AI11" s="306">
        <f t="shared" si="10"/>
        <v>244.39500000000001</v>
      </c>
      <c r="AJ11" s="305"/>
      <c r="AK11" s="306"/>
      <c r="AL11" s="306"/>
      <c r="AM11" s="306"/>
      <c r="AN11" s="305"/>
      <c r="AO11" s="306"/>
      <c r="AP11" s="306"/>
      <c r="AQ11" s="306"/>
      <c r="AR11" s="306"/>
      <c r="AS11" s="306"/>
      <c r="AT11" s="306"/>
      <c r="AU11" s="306"/>
      <c r="AV11" s="306"/>
      <c r="AW11" s="306"/>
      <c r="AX11" s="306"/>
      <c r="AY11" s="306"/>
      <c r="AZ11" s="306"/>
      <c r="BA11" s="306"/>
      <c r="BB11" s="306"/>
      <c r="BC11" s="306"/>
      <c r="BD11" s="305"/>
      <c r="BE11" s="310">
        <f t="shared" si="0"/>
        <v>1221.9750000000001</v>
      </c>
      <c r="BF11" s="293"/>
      <c r="BG11" s="175"/>
    </row>
    <row r="12" spans="1:59">
      <c r="A12" s="172" t="s">
        <v>477</v>
      </c>
      <c r="B12" s="173">
        <f>AY20</f>
        <v>13382.008</v>
      </c>
      <c r="C12" s="347">
        <f>C11-C31</f>
        <v>766712.66799999995</v>
      </c>
      <c r="D12" s="346"/>
      <c r="E12" s="297"/>
      <c r="F12" s="298" t="s">
        <v>454</v>
      </c>
      <c r="G12" s="309" t="s">
        <v>462</v>
      </c>
      <c r="H12" s="299"/>
      <c r="I12" s="306">
        <v>149.9</v>
      </c>
      <c r="J12" s="304">
        <f t="shared" si="1"/>
        <v>74.95</v>
      </c>
      <c r="K12" s="304">
        <f t="shared" si="2"/>
        <v>74.95</v>
      </c>
      <c r="L12" s="305"/>
      <c r="M12" s="306">
        <v>154.58000000000001</v>
      </c>
      <c r="N12" s="304">
        <f>M12*50%</f>
        <v>77.290000000000006</v>
      </c>
      <c r="O12" s="304">
        <f>M12*50%</f>
        <v>77.290000000000006</v>
      </c>
      <c r="P12" s="305"/>
      <c r="Q12" s="305">
        <v>149.9</v>
      </c>
      <c r="R12" s="304">
        <f>Q12*50%</f>
        <v>74.95</v>
      </c>
      <c r="S12" s="304">
        <f>Q12*50%</f>
        <v>74.95</v>
      </c>
      <c r="T12" s="305"/>
      <c r="U12" s="305">
        <v>154.1</v>
      </c>
      <c r="V12" s="304">
        <f t="shared" si="3"/>
        <v>77.05</v>
      </c>
      <c r="W12" s="304">
        <f t="shared" si="4"/>
        <v>77.05</v>
      </c>
      <c r="X12" s="305"/>
      <c r="Y12" s="305">
        <v>149.9</v>
      </c>
      <c r="Z12" s="304">
        <f t="shared" si="5"/>
        <v>74.95</v>
      </c>
      <c r="AA12" s="304">
        <f t="shared" si="6"/>
        <v>74.95</v>
      </c>
      <c r="AB12" s="305"/>
      <c r="AC12" s="305">
        <v>153.06</v>
      </c>
      <c r="AD12" s="304">
        <f t="shared" si="7"/>
        <v>76.53</v>
      </c>
      <c r="AE12" s="304">
        <f t="shared" si="8"/>
        <v>76.53</v>
      </c>
      <c r="AF12" s="305"/>
      <c r="AG12" s="305">
        <v>149.9</v>
      </c>
      <c r="AH12" s="304">
        <f t="shared" si="9"/>
        <v>74.95</v>
      </c>
      <c r="AI12" s="304">
        <f t="shared" si="10"/>
        <v>74.95</v>
      </c>
      <c r="AJ12" s="305"/>
      <c r="AK12" s="306">
        <v>149.9</v>
      </c>
      <c r="AL12" s="304">
        <f>AK12*50%</f>
        <v>74.95</v>
      </c>
      <c r="AM12" s="304">
        <f>AK12*50%</f>
        <v>74.95</v>
      </c>
      <c r="AN12" s="305"/>
      <c r="AO12" s="306">
        <v>149.9</v>
      </c>
      <c r="AP12" s="304">
        <f>AO12*50%</f>
        <v>74.95</v>
      </c>
      <c r="AQ12" s="304">
        <f>AO12*50%</f>
        <v>74.95</v>
      </c>
      <c r="AR12" s="306"/>
      <c r="AS12" s="306">
        <v>149.9</v>
      </c>
      <c r="AT12" s="304">
        <f>AS12*50%</f>
        <v>74.95</v>
      </c>
      <c r="AU12" s="304">
        <f>AS12*50%</f>
        <v>74.95</v>
      </c>
      <c r="AV12" s="306"/>
      <c r="AW12" s="306">
        <v>155.47</v>
      </c>
      <c r="AX12" s="304">
        <f>AW12*50%</f>
        <v>77.734999999999999</v>
      </c>
      <c r="AY12" s="304">
        <f>AW12*50%</f>
        <v>77.734999999999999</v>
      </c>
      <c r="AZ12" s="306"/>
      <c r="BA12" s="306">
        <v>155.47</v>
      </c>
      <c r="BB12" s="304">
        <f>BA12*50%</f>
        <v>77.734999999999999</v>
      </c>
      <c r="BC12" s="304">
        <f>BA12*50%</f>
        <v>77.734999999999999</v>
      </c>
      <c r="BD12" s="305"/>
      <c r="BE12" s="310">
        <f t="shared" si="0"/>
        <v>910.99</v>
      </c>
      <c r="BF12" s="293" t="s">
        <v>453</v>
      </c>
      <c r="BG12" s="175"/>
    </row>
    <row r="13" spans="1:59">
      <c r="A13" s="172" t="s">
        <v>478</v>
      </c>
      <c r="B13" s="173">
        <f>BC20</f>
        <v>12096.917000000001</v>
      </c>
      <c r="C13" s="174"/>
      <c r="D13" s="174"/>
      <c r="E13" s="297"/>
      <c r="F13" s="298" t="s">
        <v>454</v>
      </c>
      <c r="G13" s="309" t="s">
        <v>463</v>
      </c>
      <c r="H13" s="299"/>
      <c r="I13" s="311">
        <v>5125.43</v>
      </c>
      <c r="J13" s="311"/>
      <c r="K13" s="311"/>
      <c r="L13" s="312"/>
      <c r="M13" s="311">
        <v>1252.93</v>
      </c>
      <c r="N13" s="311"/>
      <c r="O13" s="311"/>
      <c r="P13" s="312"/>
      <c r="Q13" s="312">
        <v>2873.9</v>
      </c>
      <c r="R13" s="311"/>
      <c r="S13" s="311"/>
      <c r="T13" s="312"/>
      <c r="U13" s="312">
        <v>3064.87</v>
      </c>
      <c r="V13" s="311"/>
      <c r="W13" s="311"/>
      <c r="X13" s="312"/>
      <c r="Y13" s="312">
        <v>3170.97</v>
      </c>
      <c r="Z13" s="311"/>
      <c r="AA13" s="311"/>
      <c r="AB13" s="312"/>
      <c r="AC13" s="312">
        <v>2180.13</v>
      </c>
      <c r="AD13" s="311"/>
      <c r="AE13" s="311"/>
      <c r="AF13" s="312"/>
      <c r="AG13" s="312">
        <v>1800.8</v>
      </c>
      <c r="AH13" s="311"/>
      <c r="AI13" s="311"/>
      <c r="AJ13" s="312"/>
      <c r="AK13" s="311">
        <v>3471.05</v>
      </c>
      <c r="AL13" s="311"/>
      <c r="AM13" s="311"/>
      <c r="AN13" s="312"/>
      <c r="AO13" s="311"/>
      <c r="AP13" s="311"/>
      <c r="AQ13" s="311"/>
      <c r="AR13" s="311"/>
      <c r="AS13" s="311">
        <f>3471.05+1951.79+2936.92</f>
        <v>8359.76</v>
      </c>
      <c r="AT13" s="311"/>
      <c r="AU13" s="311"/>
      <c r="AV13" s="311"/>
      <c r="AW13" s="311">
        <v>3184.79</v>
      </c>
      <c r="AX13" s="311"/>
      <c r="AY13" s="311"/>
      <c r="AZ13" s="311"/>
      <c r="BA13" s="311">
        <v>3286.5</v>
      </c>
      <c r="BB13" s="311"/>
      <c r="BC13" s="311"/>
      <c r="BD13" s="305"/>
      <c r="BE13" s="310">
        <f t="shared" si="0"/>
        <v>0</v>
      </c>
      <c r="BF13" s="293" t="s">
        <v>453</v>
      </c>
      <c r="BG13" s="175"/>
    </row>
    <row r="14" spans="1:59">
      <c r="A14" s="177" t="s">
        <v>447</v>
      </c>
      <c r="B14" s="173">
        <f>SUM(B2:B13)</f>
        <v>172791.57399999996</v>
      </c>
      <c r="C14" s="174"/>
      <c r="D14" s="174"/>
      <c r="E14" s="297"/>
      <c r="F14" s="298" t="s">
        <v>454</v>
      </c>
      <c r="G14" s="309" t="s">
        <v>464</v>
      </c>
      <c r="H14" s="299"/>
      <c r="I14" s="323">
        <v>11147.25</v>
      </c>
      <c r="J14" s="311"/>
      <c r="K14" s="311"/>
      <c r="L14" s="312"/>
      <c r="M14" s="323">
        <v>21132.15</v>
      </c>
      <c r="N14" s="311"/>
      <c r="O14" s="311"/>
      <c r="P14" s="312"/>
      <c r="Q14" s="312">
        <v>9290.94</v>
      </c>
      <c r="R14" s="311"/>
      <c r="S14" s="311"/>
      <c r="T14" s="312"/>
      <c r="U14" s="312">
        <v>14446.45</v>
      </c>
      <c r="V14" s="311"/>
      <c r="W14" s="311"/>
      <c r="X14" s="312"/>
      <c r="Y14" s="312">
        <v>16246.67</v>
      </c>
      <c r="Z14" s="311"/>
      <c r="AA14" s="311"/>
      <c r="AB14" s="312"/>
      <c r="AC14" s="312">
        <v>13659.29</v>
      </c>
      <c r="AD14" s="311"/>
      <c r="AE14" s="311"/>
      <c r="AF14" s="312"/>
      <c r="AG14" s="312">
        <v>11223.5</v>
      </c>
      <c r="AH14" s="311"/>
      <c r="AI14" s="311"/>
      <c r="AJ14" s="312"/>
      <c r="AK14" s="311">
        <f>11630.64+152.86</f>
        <v>11783.5</v>
      </c>
      <c r="AL14" s="311"/>
      <c r="AM14" s="311"/>
      <c r="AN14" s="312"/>
      <c r="AO14" s="311">
        <v>11013.94</v>
      </c>
      <c r="AP14" s="311"/>
      <c r="AQ14" s="311"/>
      <c r="AR14" s="311"/>
      <c r="AS14" s="311">
        <f>12836.34+167.31</f>
        <v>13003.65</v>
      </c>
      <c r="AT14" s="311"/>
      <c r="AU14" s="311"/>
      <c r="AV14" s="311"/>
      <c r="AW14" s="311">
        <f>15086.01+163.45</f>
        <v>15249.460000000001</v>
      </c>
      <c r="AX14" s="311"/>
      <c r="AY14" s="311"/>
      <c r="AZ14" s="311"/>
      <c r="BA14" s="311">
        <f>19508.56+180.94</f>
        <v>19689.5</v>
      </c>
      <c r="BB14" s="311"/>
      <c r="BC14" s="311"/>
      <c r="BD14" s="305"/>
      <c r="BE14" s="310">
        <f t="shared" si="0"/>
        <v>0</v>
      </c>
      <c r="BF14" s="293" t="s">
        <v>453</v>
      </c>
      <c r="BG14" s="175"/>
    </row>
    <row r="15" spans="1:59">
      <c r="A15" s="172"/>
      <c r="B15" s="173"/>
      <c r="C15" s="174" t="s">
        <v>578</v>
      </c>
      <c r="D15" s="174"/>
      <c r="E15" s="297"/>
      <c r="F15" s="298"/>
      <c r="G15" s="309" t="s">
        <v>465</v>
      </c>
      <c r="H15" s="299"/>
      <c r="I15" s="306">
        <v>145.25</v>
      </c>
      <c r="J15" s="306">
        <f>I15*30%</f>
        <v>43.574999999999996</v>
      </c>
      <c r="K15" s="306">
        <f>I15*70%</f>
        <v>101.675</v>
      </c>
      <c r="L15" s="305"/>
      <c r="M15" s="306">
        <v>315.73</v>
      </c>
      <c r="N15" s="306">
        <f>M15*30%</f>
        <v>94.719000000000008</v>
      </c>
      <c r="O15" s="306">
        <f>M15*70%</f>
        <v>221.011</v>
      </c>
      <c r="P15" s="305"/>
      <c r="Q15" s="305">
        <v>151.25</v>
      </c>
      <c r="R15" s="306">
        <f>Q15*30%</f>
        <v>45.375</v>
      </c>
      <c r="S15" s="306">
        <f>Q15*70%</f>
        <v>105.875</v>
      </c>
      <c r="T15" s="305"/>
      <c r="U15" s="305">
        <v>165.3</v>
      </c>
      <c r="V15" s="306">
        <f>U15*30%</f>
        <v>49.59</v>
      </c>
      <c r="W15" s="306">
        <f>U15*70%</f>
        <v>115.71</v>
      </c>
      <c r="X15" s="305"/>
      <c r="Y15" s="305">
        <v>149.5</v>
      </c>
      <c r="Z15" s="306">
        <f>Y15*30%</f>
        <v>44.85</v>
      </c>
      <c r="AA15" s="306">
        <f>Y15*70%</f>
        <v>104.64999999999999</v>
      </c>
      <c r="AB15" s="305"/>
      <c r="AC15" s="305">
        <v>152.77000000000001</v>
      </c>
      <c r="AD15" s="306">
        <f>AC15*30%</f>
        <v>45.831000000000003</v>
      </c>
      <c r="AE15" s="306">
        <f>AC15*70%</f>
        <v>106.93900000000001</v>
      </c>
      <c r="AF15" s="305"/>
      <c r="AG15" s="305">
        <v>168.66</v>
      </c>
      <c r="AH15" s="306">
        <f>AG15*30%</f>
        <v>50.597999999999999</v>
      </c>
      <c r="AI15" s="306">
        <f>AG15*70%</f>
        <v>118.06199999999998</v>
      </c>
      <c r="AJ15" s="305"/>
      <c r="AK15" s="306">
        <v>189.1</v>
      </c>
      <c r="AL15" s="306">
        <f>AK15*30%</f>
        <v>56.73</v>
      </c>
      <c r="AM15" s="306">
        <f>AK15*70%</f>
        <v>132.36999999999998</v>
      </c>
      <c r="AN15" s="305"/>
      <c r="AO15" s="306">
        <v>170.34</v>
      </c>
      <c r="AP15" s="306">
        <f>AO15*30%</f>
        <v>51.101999999999997</v>
      </c>
      <c r="AQ15" s="306">
        <f>AO15*70%</f>
        <v>119.238</v>
      </c>
      <c r="AR15" s="306"/>
      <c r="AS15" s="306">
        <v>166.63</v>
      </c>
      <c r="AT15" s="306">
        <f>AS15*30%</f>
        <v>49.988999999999997</v>
      </c>
      <c r="AU15" s="306">
        <f>AS15*70%</f>
        <v>116.64099999999999</v>
      </c>
      <c r="AV15" s="306"/>
      <c r="AW15" s="306">
        <v>168.59</v>
      </c>
      <c r="AX15" s="306">
        <f>AW15*30%</f>
        <v>50.576999999999998</v>
      </c>
      <c r="AY15" s="306">
        <f>AW15*70%</f>
        <v>118.01299999999999</v>
      </c>
      <c r="AZ15" s="306"/>
      <c r="BA15" s="306">
        <v>184.76</v>
      </c>
      <c r="BB15" s="306">
        <f>BA15*30%</f>
        <v>55.427999999999997</v>
      </c>
      <c r="BC15" s="306">
        <f>BA15*70%</f>
        <v>129.33199999999999</v>
      </c>
      <c r="BD15" s="305"/>
      <c r="BE15" s="310">
        <f t="shared" si="0"/>
        <v>638.36400000000015</v>
      </c>
      <c r="BF15" s="293"/>
      <c r="BG15" s="175"/>
    </row>
    <row r="16" spans="1:59">
      <c r="A16" s="178"/>
      <c r="B16" s="294"/>
      <c r="C16" s="174"/>
      <c r="D16" s="174"/>
      <c r="E16" s="297"/>
      <c r="F16" s="298" t="s">
        <v>454</v>
      </c>
      <c r="G16" s="309" t="s">
        <v>466</v>
      </c>
      <c r="H16" s="299"/>
      <c r="I16" s="306"/>
      <c r="J16" s="306"/>
      <c r="K16" s="306"/>
      <c r="L16" s="305"/>
      <c r="M16" s="306"/>
      <c r="N16" s="306"/>
      <c r="O16" s="306"/>
      <c r="P16" s="305"/>
      <c r="Q16" s="305"/>
      <c r="R16" s="306"/>
      <c r="S16" s="306"/>
      <c r="T16" s="305"/>
      <c r="U16" s="305"/>
      <c r="V16" s="306"/>
      <c r="W16" s="306"/>
      <c r="X16" s="305"/>
      <c r="Y16" s="305"/>
      <c r="Z16" s="306"/>
      <c r="AA16" s="306"/>
      <c r="AB16" s="305"/>
      <c r="AC16" s="305"/>
      <c r="AD16" s="306"/>
      <c r="AE16" s="306"/>
      <c r="AF16" s="305"/>
      <c r="AG16" s="305"/>
      <c r="AH16" s="306"/>
      <c r="AI16" s="306"/>
      <c r="AJ16" s="305"/>
      <c r="AK16" s="306"/>
      <c r="AL16" s="306"/>
      <c r="AM16" s="306"/>
      <c r="AN16" s="305"/>
      <c r="AO16" s="306"/>
      <c r="AP16" s="306"/>
      <c r="AQ16" s="306"/>
      <c r="AR16" s="306"/>
      <c r="AS16" s="306"/>
      <c r="AT16" s="306"/>
      <c r="AU16" s="306"/>
      <c r="AV16" s="306"/>
      <c r="AW16" s="306"/>
      <c r="AX16" s="306"/>
      <c r="AY16" s="306"/>
      <c r="AZ16" s="306"/>
      <c r="BA16" s="306"/>
      <c r="BB16" s="306"/>
      <c r="BC16" s="306"/>
      <c r="BD16" s="305"/>
      <c r="BE16" s="310">
        <f t="shared" si="0"/>
        <v>0</v>
      </c>
      <c r="BF16" s="293" t="s">
        <v>453</v>
      </c>
      <c r="BG16" s="175"/>
    </row>
    <row r="17" spans="1:59">
      <c r="A17" s="178"/>
      <c r="B17" s="294"/>
      <c r="C17" s="174"/>
      <c r="D17" s="174"/>
      <c r="E17" s="295"/>
      <c r="F17" s="296"/>
      <c r="G17" s="176" t="s">
        <v>467</v>
      </c>
      <c r="H17" s="295"/>
      <c r="I17" s="295"/>
      <c r="J17" s="295"/>
      <c r="K17" s="295">
        <f>6700+860</f>
        <v>7560</v>
      </c>
      <c r="L17" s="295"/>
      <c r="M17" s="295"/>
      <c r="N17" s="295"/>
      <c r="O17" s="295">
        <f>6700+860</f>
        <v>7560</v>
      </c>
      <c r="P17" s="295"/>
      <c r="Q17" s="295"/>
      <c r="R17" s="295"/>
      <c r="S17" s="295">
        <f>6700+860</f>
        <v>7560</v>
      </c>
      <c r="T17" s="295"/>
      <c r="U17" s="295"/>
      <c r="V17" s="295"/>
      <c r="W17" s="295">
        <f>6700+860</f>
        <v>7560</v>
      </c>
      <c r="X17" s="295"/>
      <c r="Y17" s="295"/>
      <c r="Z17" s="295"/>
      <c r="AA17" s="295">
        <f>6700+860</f>
        <v>7560</v>
      </c>
      <c r="AB17" s="295"/>
      <c r="AC17" s="295"/>
      <c r="AD17" s="295"/>
      <c r="AE17" s="295">
        <f>6700+860</f>
        <v>7560</v>
      </c>
      <c r="AF17" s="295"/>
      <c r="AG17" s="295"/>
      <c r="AH17" s="295"/>
      <c r="AI17" s="295">
        <f>6700+860</f>
        <v>7560</v>
      </c>
      <c r="AJ17" s="295"/>
      <c r="AK17" s="313"/>
      <c r="AL17" s="295"/>
      <c r="AM17" s="295">
        <f>6700+860</f>
        <v>7560</v>
      </c>
      <c r="AN17" s="295"/>
      <c r="AO17" s="295"/>
      <c r="AP17" s="295"/>
      <c r="AQ17" s="295">
        <f>6700+860</f>
        <v>7560</v>
      </c>
      <c r="AR17" s="295"/>
      <c r="AS17" s="295"/>
      <c r="AT17" s="295"/>
      <c r="AU17" s="295">
        <f>6700+860</f>
        <v>7560</v>
      </c>
      <c r="AV17" s="295"/>
      <c r="AW17" s="295"/>
      <c r="AX17" s="295"/>
      <c r="AY17" s="295">
        <f>6700+860</f>
        <v>7560</v>
      </c>
      <c r="AZ17" s="295"/>
      <c r="BA17" s="295"/>
      <c r="BB17" s="295"/>
      <c r="BC17" s="295">
        <f>6700+860</f>
        <v>7560</v>
      </c>
      <c r="BD17" s="295"/>
      <c r="BE17" s="295"/>
      <c r="BF17" s="314"/>
      <c r="BG17" s="175"/>
    </row>
    <row r="18" spans="1:59">
      <c r="A18" s="178"/>
      <c r="B18" s="294"/>
      <c r="C18" s="174"/>
      <c r="D18" s="174"/>
      <c r="E18" s="295"/>
      <c r="F18" s="296"/>
      <c r="G18" s="295"/>
      <c r="H18" s="295"/>
      <c r="I18" s="31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313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314"/>
      <c r="BG18" s="175"/>
    </row>
    <row r="19" spans="1:59">
      <c r="A19" s="178"/>
      <c r="B19" s="294"/>
      <c r="C19" s="174"/>
      <c r="D19" s="174"/>
      <c r="E19" s="295"/>
      <c r="F19" s="296"/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313"/>
      <c r="AL19" s="295"/>
      <c r="AM19" s="295"/>
      <c r="AN19" s="295"/>
      <c r="AO19" s="295"/>
      <c r="AP19" s="295"/>
      <c r="AQ19" s="295"/>
      <c r="AR19" s="295"/>
      <c r="AS19" s="295"/>
      <c r="AT19" s="295"/>
      <c r="AU19" s="295"/>
      <c r="AV19" s="295"/>
      <c r="AW19" s="295"/>
      <c r="AX19" s="295"/>
      <c r="AY19" s="295"/>
      <c r="AZ19" s="295"/>
      <c r="BA19" s="295"/>
      <c r="BB19" s="295"/>
      <c r="BC19" s="295"/>
      <c r="BD19" s="295"/>
      <c r="BE19" s="295"/>
      <c r="BF19" s="314"/>
      <c r="BG19" s="175"/>
    </row>
    <row r="20" spans="1:59">
      <c r="A20" s="178"/>
      <c r="B20" s="294"/>
      <c r="C20" s="174"/>
      <c r="D20" s="174"/>
      <c r="E20" s="295"/>
      <c r="F20" s="296"/>
      <c r="G20" s="295"/>
      <c r="H20" s="295"/>
      <c r="I20" s="295"/>
      <c r="J20" s="295"/>
      <c r="K20" s="316">
        <f>SUM(K4:K18)</f>
        <v>9886.5300000000007</v>
      </c>
      <c r="L20" s="295"/>
      <c r="M20" s="295"/>
      <c r="N20" s="295"/>
      <c r="O20" s="316">
        <f>SUM(O4:O18)</f>
        <v>11644.405999999999</v>
      </c>
      <c r="P20" s="295"/>
      <c r="Q20" s="295"/>
      <c r="R20" s="295"/>
      <c r="S20" s="316">
        <f>SUM(S4:S18)</f>
        <v>11526.934999999999</v>
      </c>
      <c r="T20" s="295"/>
      <c r="U20" s="295"/>
      <c r="V20" s="295"/>
      <c r="W20" s="316">
        <f>SUM(W4:W18)</f>
        <v>16616.764999999999</v>
      </c>
      <c r="X20" s="295"/>
      <c r="Y20" s="295"/>
      <c r="Z20" s="295"/>
      <c r="AA20" s="316">
        <f>SUM(AA4:AA18)</f>
        <v>17270.105000000003</v>
      </c>
      <c r="AB20" s="295"/>
      <c r="AC20" s="295"/>
      <c r="AD20" s="295"/>
      <c r="AE20" s="316">
        <f>SUM(AE4:AE18)</f>
        <v>17273.974000000002</v>
      </c>
      <c r="AF20" s="295"/>
      <c r="AG20" s="295"/>
      <c r="AH20" s="295"/>
      <c r="AI20" s="316">
        <f>SUM(AI4:AI19)</f>
        <v>17283.517</v>
      </c>
      <c r="AJ20" s="295"/>
      <c r="AK20" s="313"/>
      <c r="AL20" s="295"/>
      <c r="AM20" s="316">
        <f>SUM(AM4:AM19)</f>
        <v>17800.090000000004</v>
      </c>
      <c r="AN20" s="295"/>
      <c r="AO20" s="295"/>
      <c r="AP20" s="295"/>
      <c r="AQ20" s="316">
        <f ca="1">SUM(AQ4:AQ20)</f>
        <v>13943.86</v>
      </c>
      <c r="AR20" s="295"/>
      <c r="AS20" s="295"/>
      <c r="AT20" s="295"/>
      <c r="AU20" s="316">
        <f>SUM(AU4:AU19)</f>
        <v>14066.501</v>
      </c>
      <c r="AV20" s="295"/>
      <c r="AW20" s="295"/>
      <c r="AX20" s="295"/>
      <c r="AY20" s="316">
        <f>SUM(AY4:AY19)</f>
        <v>13382.008</v>
      </c>
      <c r="AZ20" s="295"/>
      <c r="BA20" s="295"/>
      <c r="BB20" s="295"/>
      <c r="BC20" s="316">
        <f>SUM(BC4:BC19)</f>
        <v>12096.917000000001</v>
      </c>
      <c r="BD20" s="295"/>
      <c r="BE20" s="295"/>
      <c r="BF20" s="314"/>
      <c r="BG20" s="175"/>
    </row>
    <row r="21" spans="1:59">
      <c r="A21" s="178"/>
      <c r="B21" s="174"/>
      <c r="C21" s="174"/>
      <c r="D21" s="174"/>
      <c r="E21" s="295"/>
      <c r="F21" s="296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313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314"/>
      <c r="BG21" s="175"/>
    </row>
    <row r="22" spans="1:59" ht="16.5" customHeight="1" thickBot="1">
      <c r="A22" s="179"/>
      <c r="B22" s="180"/>
      <c r="C22" s="180"/>
      <c r="D22" s="180"/>
      <c r="E22" s="324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325"/>
      <c r="AH22" s="325"/>
      <c r="AI22" s="325"/>
      <c r="AJ22" s="326"/>
      <c r="AK22" s="325"/>
      <c r="AL22" s="325"/>
      <c r="AM22" s="325"/>
      <c r="AN22" s="325"/>
      <c r="AO22" s="325"/>
      <c r="AP22" s="325"/>
      <c r="AQ22" s="325"/>
      <c r="AR22" s="325"/>
      <c r="AS22" s="325"/>
      <c r="AT22" s="325"/>
      <c r="AU22" s="325"/>
      <c r="AV22" s="325"/>
      <c r="AW22" s="325"/>
      <c r="AX22" s="325"/>
      <c r="AY22" s="325"/>
      <c r="AZ22" s="325"/>
      <c r="BA22" s="325"/>
      <c r="BB22" s="325"/>
      <c r="BC22" s="325"/>
      <c r="BD22" s="325"/>
      <c r="BE22" s="327"/>
      <c r="BF22" s="180"/>
      <c r="BG22" s="181"/>
    </row>
    <row r="23" spans="1:59" ht="15.75" thickBot="1"/>
    <row r="24" spans="1:59">
      <c r="A24" s="182" t="s">
        <v>614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4"/>
    </row>
    <row r="25" spans="1:59">
      <c r="A25" s="185" t="s">
        <v>468</v>
      </c>
      <c r="B25" s="186">
        <v>7920</v>
      </c>
      <c r="C25" s="187"/>
      <c r="D25" s="187"/>
      <c r="E25" s="187"/>
      <c r="F25" s="187"/>
      <c r="G25" s="187"/>
      <c r="H25" s="187"/>
      <c r="I25" s="187"/>
      <c r="J25" s="187"/>
      <c r="K25" s="188"/>
    </row>
    <row r="26" spans="1:59">
      <c r="A26" s="185" t="s">
        <v>448</v>
      </c>
      <c r="B26" s="186">
        <v>227234.84</v>
      </c>
      <c r="C26" s="187"/>
      <c r="D26" s="187"/>
      <c r="E26" s="187"/>
      <c r="F26" s="187"/>
      <c r="G26" s="187"/>
      <c r="H26" s="187"/>
      <c r="I26" s="187"/>
      <c r="J26" s="187"/>
      <c r="K26" s="188"/>
    </row>
    <row r="27" spans="1:59">
      <c r="A27" s="185" t="s">
        <v>469</v>
      </c>
      <c r="B27" s="186">
        <v>208527.9</v>
      </c>
      <c r="C27" s="187"/>
      <c r="D27" s="187"/>
      <c r="E27" s="187"/>
      <c r="F27" s="187"/>
      <c r="G27" s="187"/>
      <c r="H27" s="187"/>
      <c r="I27" s="187"/>
      <c r="J27" s="187"/>
      <c r="K27" s="188"/>
    </row>
    <row r="28" spans="1:59">
      <c r="A28" s="185" t="s">
        <v>470</v>
      </c>
      <c r="B28" s="186">
        <v>147688.1</v>
      </c>
      <c r="C28" s="187"/>
      <c r="D28" s="187"/>
      <c r="E28" s="187"/>
      <c r="F28" s="187"/>
      <c r="G28" s="187"/>
      <c r="H28" s="187"/>
      <c r="I28" s="187"/>
      <c r="J28" s="187"/>
      <c r="K28" s="188"/>
    </row>
    <row r="29" spans="1:59">
      <c r="A29" s="185" t="s">
        <v>471</v>
      </c>
      <c r="B29" s="186">
        <v>13303</v>
      </c>
      <c r="C29" s="187"/>
      <c r="D29" s="187"/>
      <c r="E29" s="187"/>
      <c r="F29" s="187"/>
      <c r="G29" s="187"/>
      <c r="H29" s="187"/>
      <c r="I29" s="187"/>
      <c r="J29" s="187"/>
      <c r="K29" s="188"/>
    </row>
    <row r="30" spans="1:59">
      <c r="A30" s="185" t="s">
        <v>472</v>
      </c>
      <c r="B30" s="186">
        <v>109483.2</v>
      </c>
      <c r="C30" s="187"/>
      <c r="D30" s="187"/>
      <c r="E30" s="187"/>
      <c r="F30" s="187"/>
      <c r="G30" s="187"/>
      <c r="H30" s="187"/>
      <c r="I30" s="187"/>
      <c r="J30" s="187"/>
      <c r="K30" s="188"/>
    </row>
    <row r="31" spans="1:59">
      <c r="A31" s="185" t="s">
        <v>473</v>
      </c>
      <c r="B31" s="186">
        <v>96729</v>
      </c>
      <c r="C31" s="187">
        <f>SUM(B24:B31)</f>
        <v>810886.03999999992</v>
      </c>
      <c r="D31" s="187"/>
      <c r="E31" s="187"/>
      <c r="F31" s="187"/>
      <c r="G31" s="187"/>
      <c r="H31" s="187"/>
      <c r="I31" s="187"/>
      <c r="J31" s="187"/>
      <c r="K31" s="188"/>
    </row>
    <row r="32" spans="1:59">
      <c r="A32" s="185" t="s">
        <v>474</v>
      </c>
      <c r="B32" s="186">
        <v>192753</v>
      </c>
      <c r="C32" s="187"/>
      <c r="D32" s="187"/>
      <c r="E32" s="187"/>
      <c r="F32" s="187"/>
      <c r="G32" s="187"/>
      <c r="H32" s="187"/>
      <c r="I32" s="187"/>
      <c r="J32" s="187"/>
      <c r="K32" s="188"/>
    </row>
    <row r="33" spans="1:19">
      <c r="A33" s="185" t="s">
        <v>475</v>
      </c>
      <c r="B33" s="186">
        <v>129054.39999999999</v>
      </c>
      <c r="C33" s="187"/>
      <c r="D33" s="187"/>
      <c r="E33" s="187"/>
      <c r="F33" s="187"/>
      <c r="G33" s="187"/>
      <c r="H33" s="187"/>
      <c r="I33" s="187"/>
      <c r="J33" s="187"/>
      <c r="K33" s="188"/>
    </row>
    <row r="34" spans="1:19">
      <c r="A34" s="185" t="s">
        <v>476</v>
      </c>
      <c r="B34" s="186">
        <v>238677.06</v>
      </c>
      <c r="C34" s="187"/>
      <c r="D34" s="187"/>
      <c r="E34" s="187"/>
      <c r="F34" s="187"/>
      <c r="G34" s="187"/>
      <c r="H34" s="187"/>
      <c r="I34" s="187"/>
      <c r="J34" s="187"/>
      <c r="K34" s="188"/>
    </row>
    <row r="35" spans="1:19">
      <c r="A35" s="185" t="s">
        <v>477</v>
      </c>
      <c r="B35" s="186">
        <v>364611.24</v>
      </c>
      <c r="C35" s="187"/>
      <c r="D35" s="187"/>
      <c r="E35" s="187"/>
      <c r="F35" s="187"/>
      <c r="G35" s="187"/>
      <c r="H35" s="187"/>
      <c r="I35" s="187"/>
      <c r="J35" s="187"/>
      <c r="K35" s="188"/>
    </row>
    <row r="36" spans="1:19" ht="15.75" thickBot="1">
      <c r="A36" s="185" t="s">
        <v>478</v>
      </c>
      <c r="B36" s="186">
        <v>379361.5</v>
      </c>
      <c r="C36" s="187"/>
      <c r="D36" s="187"/>
      <c r="E36" s="187"/>
      <c r="F36" s="187"/>
      <c r="G36" s="187"/>
      <c r="H36" s="187"/>
      <c r="I36" s="187"/>
      <c r="J36" s="187"/>
      <c r="K36" s="188"/>
    </row>
    <row r="37" spans="1:19">
      <c r="A37" s="189" t="s">
        <v>479</v>
      </c>
      <c r="B37" s="190">
        <f>SUM(B25:B36)</f>
        <v>2115343.2400000002</v>
      </c>
      <c r="C37" s="184"/>
      <c r="D37" s="187" t="s">
        <v>577</v>
      </c>
      <c r="E37" s="187"/>
      <c r="F37" s="187"/>
      <c r="G37" s="187"/>
      <c r="H37" s="187"/>
      <c r="I37" s="187"/>
      <c r="J37" s="187"/>
      <c r="K37" s="188"/>
    </row>
    <row r="38" spans="1:19" ht="15.75" thickBot="1">
      <c r="A38" s="191"/>
      <c r="B38" s="192"/>
      <c r="C38" s="193"/>
      <c r="D38" s="187"/>
      <c r="E38" s="187"/>
      <c r="F38" s="187"/>
      <c r="G38" s="187"/>
      <c r="H38" s="187"/>
      <c r="I38" s="187"/>
      <c r="J38" s="187"/>
      <c r="K38" s="188"/>
    </row>
    <row r="39" spans="1:19" ht="15.75" thickBot="1">
      <c r="A39" s="191"/>
      <c r="B39" s="192"/>
      <c r="C39" s="192"/>
      <c r="D39" s="192"/>
      <c r="E39" s="192"/>
      <c r="F39" s="192"/>
      <c r="G39" s="192"/>
      <c r="H39" s="192"/>
      <c r="I39" s="192"/>
      <c r="J39" s="192"/>
      <c r="K39" s="193"/>
    </row>
    <row r="40" spans="1:19" ht="15.75" thickBot="1"/>
    <row r="41" spans="1:19">
      <c r="A41" s="195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7"/>
    </row>
    <row r="42" spans="1:19" ht="15.75" thickBot="1">
      <c r="A42" s="198" t="s">
        <v>480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200"/>
    </row>
    <row r="43" spans="1:19" ht="15.75" thickBot="1">
      <c r="A43" s="201" t="s">
        <v>468</v>
      </c>
      <c r="B43" s="202"/>
      <c r="C43" s="199"/>
      <c r="D43" s="199"/>
      <c r="E43" s="203" t="s">
        <v>527</v>
      </c>
      <c r="F43" s="204" t="s">
        <v>528</v>
      </c>
      <c r="G43" s="204" t="s">
        <v>529</v>
      </c>
      <c r="H43" s="204" t="s">
        <v>530</v>
      </c>
      <c r="I43" s="204" t="s">
        <v>531</v>
      </c>
      <c r="J43" s="204" t="s">
        <v>532</v>
      </c>
      <c r="K43" s="205" t="s">
        <v>533</v>
      </c>
      <c r="L43" s="204" t="s">
        <v>534</v>
      </c>
      <c r="M43" s="206" t="s">
        <v>535</v>
      </c>
      <c r="N43" s="207" t="s">
        <v>536</v>
      </c>
      <c r="O43" s="204" t="s">
        <v>537</v>
      </c>
      <c r="P43" s="208" t="s">
        <v>538</v>
      </c>
      <c r="Q43" s="205" t="s">
        <v>539</v>
      </c>
      <c r="R43" s="199"/>
      <c r="S43" s="200"/>
    </row>
    <row r="44" spans="1:19">
      <c r="A44" s="201" t="s">
        <v>448</v>
      </c>
      <c r="B44" s="202"/>
      <c r="C44" s="199"/>
      <c r="D44" s="199"/>
      <c r="E44" s="209">
        <v>8</v>
      </c>
      <c r="F44" s="209" t="s">
        <v>540</v>
      </c>
      <c r="G44" s="209">
        <v>12</v>
      </c>
      <c r="H44" s="209">
        <v>1</v>
      </c>
      <c r="I44" s="209" t="s">
        <v>541</v>
      </c>
      <c r="J44" s="209" t="s">
        <v>542</v>
      </c>
      <c r="K44" s="210">
        <v>25000</v>
      </c>
      <c r="L44" s="211" t="s">
        <v>543</v>
      </c>
      <c r="M44" s="210">
        <f t="shared" ref="M44:M51" si="11">K44-O44</f>
        <v>21264.367816091955</v>
      </c>
      <c r="N44" s="210">
        <f t="shared" ref="N44:N51" si="12">K44/0.87</f>
        <v>28735.632183908045</v>
      </c>
      <c r="O44" s="212">
        <f t="shared" ref="O44:O51" si="13">N44-K44</f>
        <v>3735.6321839080447</v>
      </c>
      <c r="P44" s="212">
        <v>26404</v>
      </c>
      <c r="Q44" s="210">
        <f t="shared" ref="Q44:Q51" si="14">O44</f>
        <v>3735.6321839080447</v>
      </c>
      <c r="R44" s="199"/>
      <c r="S44" s="200"/>
    </row>
    <row r="45" spans="1:19">
      <c r="A45" s="201" t="s">
        <v>469</v>
      </c>
      <c r="B45" s="202"/>
      <c r="C45" s="199"/>
      <c r="D45" s="199"/>
      <c r="E45" s="209">
        <v>8</v>
      </c>
      <c r="F45" s="209" t="s">
        <v>540</v>
      </c>
      <c r="G45" s="209">
        <v>16</v>
      </c>
      <c r="H45" s="209">
        <v>1</v>
      </c>
      <c r="I45" s="209" t="s">
        <v>541</v>
      </c>
      <c r="J45" s="209" t="s">
        <v>544</v>
      </c>
      <c r="K45" s="210">
        <v>149310</v>
      </c>
      <c r="L45" s="211" t="s">
        <v>543</v>
      </c>
      <c r="M45" s="210">
        <f t="shared" si="11"/>
        <v>126999.31034482759</v>
      </c>
      <c r="N45" s="210">
        <f t="shared" si="12"/>
        <v>171620.68965517241</v>
      </c>
      <c r="O45" s="212">
        <f t="shared" si="13"/>
        <v>22310.689655172406</v>
      </c>
      <c r="P45" s="212">
        <f>126999.31</f>
        <v>126999.31</v>
      </c>
      <c r="Q45" s="210">
        <f t="shared" si="14"/>
        <v>22310.689655172406</v>
      </c>
      <c r="R45" s="213">
        <f>Q44+Q45</f>
        <v>26046.32183908045</v>
      </c>
      <c r="S45" s="200"/>
    </row>
    <row r="46" spans="1:19">
      <c r="A46" s="201" t="s">
        <v>470</v>
      </c>
      <c r="B46" s="202"/>
      <c r="C46" s="199"/>
      <c r="D46" s="199"/>
      <c r="E46" s="209">
        <v>9</v>
      </c>
      <c r="F46" s="209" t="s">
        <v>540</v>
      </c>
      <c r="G46" s="209">
        <v>30</v>
      </c>
      <c r="H46" s="209">
        <v>1</v>
      </c>
      <c r="I46" s="209" t="s">
        <v>541</v>
      </c>
      <c r="J46" s="209" t="s">
        <v>544</v>
      </c>
      <c r="K46" s="210">
        <v>68000</v>
      </c>
      <c r="L46" s="211" t="s">
        <v>543</v>
      </c>
      <c r="M46" s="210">
        <f t="shared" si="11"/>
        <v>57839.080459770121</v>
      </c>
      <c r="N46" s="210">
        <f t="shared" si="12"/>
        <v>78160.919540229879</v>
      </c>
      <c r="O46" s="212">
        <f t="shared" si="13"/>
        <v>10160.919540229879</v>
      </c>
      <c r="P46" s="212">
        <v>57840</v>
      </c>
      <c r="Q46" s="210">
        <f t="shared" si="14"/>
        <v>10160.919540229879</v>
      </c>
      <c r="R46" s="213">
        <f>Q46</f>
        <v>10160.919540229879</v>
      </c>
      <c r="S46" s="200"/>
    </row>
    <row r="47" spans="1:19">
      <c r="A47" s="201" t="s">
        <v>471</v>
      </c>
      <c r="B47" s="202"/>
      <c r="C47" s="199"/>
      <c r="D47" s="199"/>
      <c r="E47" s="209">
        <v>10</v>
      </c>
      <c r="F47" s="209" t="s">
        <v>540</v>
      </c>
      <c r="G47" s="209">
        <v>41</v>
      </c>
      <c r="H47" s="209">
        <v>1</v>
      </c>
      <c r="I47" s="209" t="s">
        <v>541</v>
      </c>
      <c r="J47" s="209" t="s">
        <v>545</v>
      </c>
      <c r="K47" s="210">
        <v>122450</v>
      </c>
      <c r="L47" s="211" t="s">
        <v>543</v>
      </c>
      <c r="M47" s="210">
        <f t="shared" si="11"/>
        <v>104152.8735632184</v>
      </c>
      <c r="N47" s="210">
        <f t="shared" si="12"/>
        <v>140747.1264367816</v>
      </c>
      <c r="O47" s="212">
        <f t="shared" si="13"/>
        <v>18297.126436781604</v>
      </c>
      <c r="P47" s="348" t="s">
        <v>546</v>
      </c>
      <c r="Q47" s="210">
        <f t="shared" si="14"/>
        <v>18297.126436781604</v>
      </c>
      <c r="R47" s="213">
        <f>Q47+Q48+Q50+Q49</f>
        <v>44454.022988505727</v>
      </c>
      <c r="S47" s="200"/>
    </row>
    <row r="48" spans="1:19">
      <c r="A48" s="201" t="s">
        <v>472</v>
      </c>
      <c r="B48" s="202"/>
      <c r="C48" s="199"/>
      <c r="D48" s="199"/>
      <c r="E48" s="209">
        <v>10</v>
      </c>
      <c r="F48" s="209" t="s">
        <v>540</v>
      </c>
      <c r="G48" s="209">
        <v>42</v>
      </c>
      <c r="H48" s="209">
        <v>1</v>
      </c>
      <c r="I48" s="209" t="s">
        <v>541</v>
      </c>
      <c r="J48" s="209" t="s">
        <v>545</v>
      </c>
      <c r="K48" s="210">
        <v>5640.28</v>
      </c>
      <c r="L48" s="211" t="s">
        <v>543</v>
      </c>
      <c r="M48" s="210">
        <f t="shared" si="11"/>
        <v>4797.4795402298851</v>
      </c>
      <c r="N48" s="210">
        <f t="shared" si="12"/>
        <v>6483.0804597701144</v>
      </c>
      <c r="O48" s="212">
        <f t="shared" si="13"/>
        <v>842.80045977011468</v>
      </c>
      <c r="P48" s="349"/>
      <c r="Q48" s="210">
        <f t="shared" si="14"/>
        <v>842.80045977011468</v>
      </c>
      <c r="R48" s="199"/>
      <c r="S48" s="200"/>
    </row>
    <row r="49" spans="1:19">
      <c r="A49" s="201" t="s">
        <v>473</v>
      </c>
      <c r="B49" s="202"/>
      <c r="C49" s="199"/>
      <c r="D49" s="199"/>
      <c r="E49" s="209">
        <v>10</v>
      </c>
      <c r="F49" s="209" t="s">
        <v>540</v>
      </c>
      <c r="G49" s="209">
        <v>43</v>
      </c>
      <c r="H49" s="209">
        <v>1</v>
      </c>
      <c r="I49" s="209" t="s">
        <v>541</v>
      </c>
      <c r="J49" s="209" t="s">
        <v>547</v>
      </c>
      <c r="K49" s="210">
        <v>7459.72</v>
      </c>
      <c r="L49" s="211" t="s">
        <v>543</v>
      </c>
      <c r="M49" s="210">
        <f t="shared" si="11"/>
        <v>6345.0491954022982</v>
      </c>
      <c r="N49" s="210">
        <f t="shared" si="12"/>
        <v>8574.3908045977023</v>
      </c>
      <c r="O49" s="212">
        <f t="shared" si="13"/>
        <v>1114.670804597702</v>
      </c>
      <c r="P49" s="349"/>
      <c r="Q49" s="210">
        <f t="shared" si="14"/>
        <v>1114.670804597702</v>
      </c>
      <c r="R49" s="199"/>
      <c r="S49" s="200"/>
    </row>
    <row r="50" spans="1:19">
      <c r="A50" s="201" t="s">
        <v>474</v>
      </c>
      <c r="B50" s="202">
        <v>26046.32</v>
      </c>
      <c r="C50" s="199"/>
      <c r="D50" s="199"/>
      <c r="E50" s="209">
        <v>10</v>
      </c>
      <c r="F50" s="209" t="s">
        <v>540</v>
      </c>
      <c r="G50" s="209">
        <v>44</v>
      </c>
      <c r="H50" s="209">
        <v>1</v>
      </c>
      <c r="I50" s="209" t="s">
        <v>541</v>
      </c>
      <c r="J50" s="209" t="s">
        <v>547</v>
      </c>
      <c r="K50" s="210">
        <v>161950</v>
      </c>
      <c r="L50" s="211" t="s">
        <v>543</v>
      </c>
      <c r="M50" s="210">
        <f t="shared" si="11"/>
        <v>137750.57471264369</v>
      </c>
      <c r="N50" s="210">
        <f t="shared" si="12"/>
        <v>186149.42528735631</v>
      </c>
      <c r="O50" s="212">
        <f t="shared" si="13"/>
        <v>24199.425287356309</v>
      </c>
      <c r="P50" s="350"/>
      <c r="Q50" s="210">
        <f t="shared" si="14"/>
        <v>24199.425287356309</v>
      </c>
      <c r="R50" s="199"/>
      <c r="S50" s="200"/>
    </row>
    <row r="51" spans="1:19" ht="15.75" thickBot="1">
      <c r="A51" s="201" t="s">
        <v>475</v>
      </c>
      <c r="B51" s="202">
        <v>10160.92</v>
      </c>
      <c r="C51" s="199"/>
      <c r="D51" s="199"/>
      <c r="E51" s="209">
        <v>12</v>
      </c>
      <c r="F51" s="209" t="s">
        <v>540</v>
      </c>
      <c r="G51" s="209">
        <v>47</v>
      </c>
      <c r="H51" s="209">
        <v>1</v>
      </c>
      <c r="I51" s="209" t="s">
        <v>548</v>
      </c>
      <c r="J51" s="209" t="s">
        <v>549</v>
      </c>
      <c r="K51" s="210">
        <v>47250</v>
      </c>
      <c r="L51" s="211" t="s">
        <v>543</v>
      </c>
      <c r="M51" s="210">
        <f t="shared" si="11"/>
        <v>40189.65517241379</v>
      </c>
      <c r="N51" s="210">
        <f t="shared" si="12"/>
        <v>54310.34482758621</v>
      </c>
      <c r="O51" s="212">
        <f t="shared" si="13"/>
        <v>7060.3448275862102</v>
      </c>
      <c r="P51" s="214">
        <f>O51+M51</f>
        <v>47250</v>
      </c>
      <c r="Q51" s="210">
        <f t="shared" si="14"/>
        <v>7060.3448275862102</v>
      </c>
      <c r="R51" s="213">
        <f>Q51</f>
        <v>7060.3448275862102</v>
      </c>
      <c r="S51" s="200"/>
    </row>
    <row r="52" spans="1:19" ht="15.75" thickBot="1">
      <c r="A52" s="201" t="s">
        <v>476</v>
      </c>
      <c r="B52" s="202">
        <v>44454.02</v>
      </c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213"/>
      <c r="O52" s="215" t="s">
        <v>479</v>
      </c>
      <c r="P52" s="207"/>
      <c r="Q52" s="216">
        <f>SUM(Q44:Q51)</f>
        <v>87721.60919540227</v>
      </c>
      <c r="R52" s="199"/>
      <c r="S52" s="200"/>
    </row>
    <row r="53" spans="1:19">
      <c r="A53" s="201" t="s">
        <v>477</v>
      </c>
      <c r="B53" s="202">
        <v>0</v>
      </c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200"/>
    </row>
    <row r="54" spans="1:19">
      <c r="A54" s="201" t="s">
        <v>478</v>
      </c>
      <c r="B54" s="202">
        <v>7060.34</v>
      </c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200"/>
    </row>
    <row r="55" spans="1:19">
      <c r="A55" s="217" t="s">
        <v>479</v>
      </c>
      <c r="B55" s="218">
        <f>SUM(B43:B54)</f>
        <v>87721.599999999991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200"/>
    </row>
    <row r="56" spans="1:19" ht="15.75" thickBot="1">
      <c r="A56" s="219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1"/>
    </row>
    <row r="58" spans="1:19">
      <c r="A58" s="194" t="s">
        <v>571</v>
      </c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</row>
    <row r="59" spans="1:19">
      <c r="A59" s="42" t="s">
        <v>468</v>
      </c>
      <c r="B59" s="42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</row>
    <row r="60" spans="1:19">
      <c r="A60" s="42" t="s">
        <v>448</v>
      </c>
      <c r="B60" s="42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</row>
    <row r="61" spans="1:19">
      <c r="A61" s="42" t="s">
        <v>469</v>
      </c>
      <c r="B61" s="42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</row>
    <row r="62" spans="1:19" ht="15.75" thickBot="1">
      <c r="A62" s="42" t="s">
        <v>470</v>
      </c>
      <c r="B62" s="42"/>
      <c r="C62" s="194"/>
      <c r="D62" s="194"/>
      <c r="E62" s="194"/>
      <c r="F62" s="194" t="s">
        <v>608</v>
      </c>
      <c r="G62" s="194"/>
      <c r="H62" s="194"/>
      <c r="I62" s="194"/>
      <c r="J62" s="194"/>
      <c r="K62" s="194"/>
      <c r="L62" s="194"/>
      <c r="M62" s="194"/>
      <c r="N62" s="194"/>
    </row>
    <row r="63" spans="1:19">
      <c r="A63" s="42" t="s">
        <v>471</v>
      </c>
      <c r="B63" s="42"/>
      <c r="C63" s="194"/>
      <c r="D63" s="194"/>
      <c r="E63" s="256"/>
      <c r="F63" s="257"/>
      <c r="G63" s="257" t="s">
        <v>568</v>
      </c>
      <c r="H63" s="257" t="s">
        <v>569</v>
      </c>
      <c r="I63" s="258"/>
      <c r="J63" s="194"/>
      <c r="K63" s="194"/>
      <c r="L63" s="194"/>
      <c r="M63" s="194"/>
      <c r="N63" s="194"/>
    </row>
    <row r="64" spans="1:19">
      <c r="A64" s="42" t="s">
        <v>472</v>
      </c>
      <c r="B64" s="42"/>
      <c r="C64" s="194"/>
      <c r="D64" s="194"/>
      <c r="E64" s="267" t="s">
        <v>573</v>
      </c>
      <c r="F64" s="259">
        <v>45996</v>
      </c>
      <c r="G64" s="260">
        <v>35000</v>
      </c>
      <c r="H64" s="260">
        <f>G64-10000</f>
        <v>25000</v>
      </c>
      <c r="I64" s="261"/>
      <c r="J64" s="194"/>
      <c r="K64" s="194"/>
      <c r="L64" s="194"/>
      <c r="M64" s="194"/>
      <c r="N64" s="194"/>
    </row>
    <row r="65" spans="1:18">
      <c r="A65" s="42" t="s">
        <v>473</v>
      </c>
      <c r="B65" s="42"/>
      <c r="C65" s="194"/>
      <c r="D65" s="194"/>
      <c r="E65" s="267" t="s">
        <v>574</v>
      </c>
      <c r="F65" s="253">
        <v>45638</v>
      </c>
      <c r="G65" s="254">
        <v>25000</v>
      </c>
      <c r="H65" s="254">
        <v>25000</v>
      </c>
      <c r="I65" s="262"/>
      <c r="J65" s="194"/>
      <c r="K65" s="194"/>
      <c r="L65" s="194"/>
      <c r="M65" s="194"/>
      <c r="N65" s="194"/>
    </row>
    <row r="66" spans="1:18">
      <c r="A66" s="42" t="s">
        <v>474</v>
      </c>
      <c r="B66" s="42"/>
      <c r="C66" s="194"/>
      <c r="D66" s="194"/>
      <c r="E66" s="267" t="s">
        <v>575</v>
      </c>
      <c r="F66" s="255" t="s">
        <v>570</v>
      </c>
      <c r="G66" s="260">
        <v>25000</v>
      </c>
      <c r="H66" s="260">
        <v>25000</v>
      </c>
      <c r="I66" s="261"/>
      <c r="J66" s="194"/>
      <c r="K66" s="194"/>
      <c r="L66" s="194"/>
      <c r="M66" s="194"/>
      <c r="N66" s="194"/>
    </row>
    <row r="67" spans="1:18">
      <c r="A67" s="42" t="s">
        <v>475</v>
      </c>
      <c r="B67" s="42"/>
      <c r="C67" s="194"/>
      <c r="D67" s="194"/>
      <c r="E67" s="267" t="s">
        <v>576</v>
      </c>
      <c r="F67" s="259">
        <v>45645</v>
      </c>
      <c r="G67" s="260">
        <v>7140</v>
      </c>
      <c r="H67" s="260">
        <v>1890</v>
      </c>
      <c r="I67" s="261"/>
      <c r="J67" s="194"/>
      <c r="K67" s="194"/>
      <c r="L67" s="194"/>
      <c r="M67" s="194"/>
      <c r="N67" s="194"/>
    </row>
    <row r="68" spans="1:18" ht="15.75" thickBot="1">
      <c r="A68" s="42" t="s">
        <v>476</v>
      </c>
      <c r="B68" s="42"/>
      <c r="C68" s="194"/>
      <c r="D68" s="194"/>
      <c r="E68" s="263"/>
      <c r="F68" s="264"/>
      <c r="G68" s="264"/>
      <c r="H68" s="265">
        <f>SUM(H64:H67)</f>
        <v>76890</v>
      </c>
      <c r="I68" s="266"/>
      <c r="J68" s="194"/>
      <c r="K68" s="194"/>
      <c r="L68" s="194"/>
      <c r="M68" s="194"/>
      <c r="N68" s="194"/>
    </row>
    <row r="69" spans="1:18">
      <c r="A69" s="42" t="s">
        <v>477</v>
      </c>
      <c r="B69" s="42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</row>
    <row r="70" spans="1:18">
      <c r="A70" s="42" t="s">
        <v>478</v>
      </c>
      <c r="B70" s="40">
        <f>H64+H65+H66+H67</f>
        <v>76890</v>
      </c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</row>
    <row r="71" spans="1:18">
      <c r="A71" s="194" t="s">
        <v>572</v>
      </c>
      <c r="B71" s="252">
        <f>H68</f>
        <v>76890</v>
      </c>
      <c r="C71" s="194" t="s">
        <v>579</v>
      </c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</row>
    <row r="72" spans="1:18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</row>
    <row r="73" spans="1:18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</row>
    <row r="75" spans="1:18" ht="15.75" thickBot="1"/>
    <row r="76" spans="1:18">
      <c r="A76" s="223"/>
      <c r="B76" s="224"/>
      <c r="C76" s="225"/>
      <c r="D76" s="225" t="s">
        <v>550</v>
      </c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</row>
    <row r="77" spans="1:18">
      <c r="A77" s="226" t="s">
        <v>567</v>
      </c>
      <c r="B77" s="225"/>
      <c r="C77" s="225"/>
      <c r="D77" s="225"/>
      <c r="E77" s="225"/>
      <c r="F77" s="227"/>
      <c r="G77" s="225"/>
      <c r="H77" s="225"/>
      <c r="I77" s="225"/>
      <c r="J77" s="228"/>
      <c r="K77" s="228"/>
      <c r="L77" s="225"/>
      <c r="M77" s="225"/>
      <c r="N77" s="225"/>
      <c r="O77" s="225"/>
      <c r="P77" s="225"/>
      <c r="Q77" s="225"/>
      <c r="R77" s="225"/>
    </row>
    <row r="78" spans="1:18">
      <c r="A78" s="229" t="s">
        <v>468</v>
      </c>
      <c r="B78" s="222">
        <v>2984.44</v>
      </c>
      <c r="C78" s="225"/>
      <c r="D78" s="230" t="s">
        <v>551</v>
      </c>
      <c r="E78" s="230" t="s">
        <v>552</v>
      </c>
      <c r="F78" s="231" t="s">
        <v>553</v>
      </c>
      <c r="G78" s="232" t="s">
        <v>554</v>
      </c>
      <c r="H78" s="232" t="s">
        <v>555</v>
      </c>
      <c r="I78" s="233" t="s">
        <v>556</v>
      </c>
      <c r="J78" s="231" t="s">
        <v>557</v>
      </c>
      <c r="K78" s="231" t="s">
        <v>558</v>
      </c>
      <c r="L78" s="234" t="s">
        <v>559</v>
      </c>
      <c r="M78" s="231" t="s">
        <v>560</v>
      </c>
      <c r="N78" s="235" t="s">
        <v>561</v>
      </c>
      <c r="O78" s="235" t="s">
        <v>562</v>
      </c>
      <c r="P78" s="235" t="s">
        <v>563</v>
      </c>
      <c r="Q78" s="225"/>
      <c r="R78" s="225"/>
    </row>
    <row r="79" spans="1:18">
      <c r="A79" s="229" t="s">
        <v>448</v>
      </c>
      <c r="B79" s="222">
        <v>2444.4499999999998</v>
      </c>
      <c r="C79" s="225"/>
      <c r="D79" s="236"/>
      <c r="E79" s="237">
        <v>11147.25</v>
      </c>
      <c r="F79" s="238">
        <f>1485+1485+7601+7601+28+223+140.41</f>
        <v>18563.41</v>
      </c>
      <c r="G79" s="239">
        <f>862.71+2234.67+2813.67+965.03+10.88+86.79+4062.38</f>
        <v>11036.130000000001</v>
      </c>
      <c r="H79" s="239">
        <f t="shared" ref="H79:H90" si="15">G79/F79</f>
        <v>0.59450984490457304</v>
      </c>
      <c r="I79" s="240"/>
      <c r="J79" s="240">
        <v>0</v>
      </c>
      <c r="K79" s="228"/>
      <c r="L79" s="240">
        <v>5019.9991419999997</v>
      </c>
      <c r="M79" s="240">
        <f t="shared" ref="M79:M90" si="16">F79-L79</f>
        <v>13543.410857999999</v>
      </c>
      <c r="N79" s="222">
        <f t="shared" ref="N79:N83" si="17">L79*H79</f>
        <v>2984.4389113315096</v>
      </c>
      <c r="O79" s="222">
        <f t="shared" ref="O79:O83" si="18">E79-N79</f>
        <v>8162.8110886684899</v>
      </c>
      <c r="P79" s="222">
        <f t="shared" ref="P79:P83" si="19">O79+N79</f>
        <v>11147.25</v>
      </c>
      <c r="Q79" s="225"/>
      <c r="R79" s="225"/>
    </row>
    <row r="80" spans="1:18">
      <c r="A80" s="229" t="s">
        <v>469</v>
      </c>
      <c r="B80" s="222">
        <v>3159.51</v>
      </c>
      <c r="C80" s="225"/>
      <c r="D80" s="228"/>
      <c r="E80" s="241">
        <v>21132.15</v>
      </c>
      <c r="F80" s="238">
        <f>3163+3163+17102+17102+47+296+163.83</f>
        <v>41036.83</v>
      </c>
      <c r="G80" s="239">
        <f>1838.52+4762.28+6334.19+2172.45+18.29+115.27+4742.48</f>
        <v>19983.48</v>
      </c>
      <c r="H80" s="239">
        <f t="shared" si="15"/>
        <v>0.48696451455923856</v>
      </c>
      <c r="I80" s="240"/>
      <c r="J80" s="240">
        <v>0</v>
      </c>
      <c r="K80" s="228"/>
      <c r="L80" s="240">
        <v>5019.9991419999997</v>
      </c>
      <c r="M80" s="240">
        <f t="shared" si="16"/>
        <v>36016.830858000001</v>
      </c>
      <c r="N80" s="222">
        <f t="shared" si="17"/>
        <v>2444.5614452718237</v>
      </c>
      <c r="O80" s="222">
        <f t="shared" si="18"/>
        <v>18687.58855472818</v>
      </c>
      <c r="P80" s="222">
        <f t="shared" si="19"/>
        <v>21132.15</v>
      </c>
      <c r="Q80" s="225"/>
      <c r="R80" s="225"/>
    </row>
    <row r="81" spans="1:18">
      <c r="A81" s="229" t="s">
        <v>470</v>
      </c>
      <c r="B81" s="222">
        <v>2417.4299999999998</v>
      </c>
      <c r="C81" s="225"/>
      <c r="D81" s="228"/>
      <c r="E81" s="241">
        <v>9290.94</v>
      </c>
      <c r="F81" s="238">
        <f>1101+1101+5273+5273+58+301+114.14</f>
        <v>13221.14</v>
      </c>
      <c r="G81" s="239">
        <f>3287.04+116.6+22.46+666.36+1942.94+1649.13+636.66</f>
        <v>8321.19</v>
      </c>
      <c r="H81" s="239">
        <f t="shared" si="15"/>
        <v>0.6293852118652401</v>
      </c>
      <c r="I81" s="240"/>
      <c r="J81" s="240">
        <v>0</v>
      </c>
      <c r="K81" s="228"/>
      <c r="L81" s="240">
        <v>5019.9991419999997</v>
      </c>
      <c r="M81" s="240">
        <f t="shared" si="16"/>
        <v>8201.1408579999988</v>
      </c>
      <c r="N81" s="222">
        <f t="shared" si="17"/>
        <v>3159.5132235509932</v>
      </c>
      <c r="O81" s="222">
        <f t="shared" si="18"/>
        <v>6131.4267764490069</v>
      </c>
      <c r="P81" s="222">
        <f t="shared" si="19"/>
        <v>9290.94</v>
      </c>
      <c r="Q81" s="225"/>
      <c r="R81" s="225"/>
    </row>
    <row r="82" spans="1:18">
      <c r="A82" s="229" t="s">
        <v>471</v>
      </c>
      <c r="B82" s="222">
        <v>2315.33</v>
      </c>
      <c r="C82" s="225"/>
      <c r="D82" s="228"/>
      <c r="E82" s="241">
        <v>14446.45</v>
      </c>
      <c r="F82" s="238">
        <f>1305+1305+12492+12492+63+403+155.07</f>
        <v>28215.07</v>
      </c>
      <c r="G82" s="239">
        <f>757.42+1961.93+4619.91+1584.5+24.5+156.69+4482.27</f>
        <v>13587.220000000001</v>
      </c>
      <c r="H82" s="239">
        <f t="shared" si="15"/>
        <v>0.4815589683101974</v>
      </c>
      <c r="I82" s="240"/>
      <c r="J82" s="240">
        <v>0</v>
      </c>
      <c r="K82" s="228"/>
      <c r="L82" s="240">
        <v>5019.9991419999997</v>
      </c>
      <c r="M82" s="240">
        <f t="shared" si="16"/>
        <v>23195.070857999999</v>
      </c>
      <c r="N82" s="222">
        <f t="shared" si="17"/>
        <v>2417.4256077395958</v>
      </c>
      <c r="O82" s="222">
        <f t="shared" si="18"/>
        <v>12029.024392260406</v>
      </c>
      <c r="P82" s="222">
        <f t="shared" si="19"/>
        <v>14446.45</v>
      </c>
      <c r="Q82" s="225"/>
      <c r="R82" s="225"/>
    </row>
    <row r="83" spans="1:18">
      <c r="A83" s="229" t="s">
        <v>472</v>
      </c>
      <c r="B83" s="222">
        <v>3455.08</v>
      </c>
      <c r="C83" s="225"/>
      <c r="D83" s="228"/>
      <c r="E83" s="241">
        <v>16246.67</v>
      </c>
      <c r="F83" s="238">
        <f>1269+1269+14679+14679+72+576+167.87</f>
        <v>32711.87</v>
      </c>
      <c r="G83" s="239">
        <f>738.88+1913.93+5446.14+1867.88+28.07+224.68+4867.82</f>
        <v>15087.400000000001</v>
      </c>
      <c r="H83" s="239">
        <f t="shared" si="15"/>
        <v>0.46122095740781566</v>
      </c>
      <c r="I83" s="240"/>
      <c r="J83" s="240">
        <v>0</v>
      </c>
      <c r="K83" s="228"/>
      <c r="L83" s="240">
        <v>5019.9991419999997</v>
      </c>
      <c r="M83" s="240">
        <f t="shared" si="16"/>
        <v>27691.870857999998</v>
      </c>
      <c r="N83" s="222">
        <f t="shared" si="17"/>
        <v>2315.3288104596531</v>
      </c>
      <c r="O83" s="222">
        <f t="shared" si="18"/>
        <v>13931.341189540348</v>
      </c>
      <c r="P83" s="222">
        <f t="shared" si="19"/>
        <v>16246.670000000002</v>
      </c>
      <c r="Q83" s="225"/>
      <c r="R83" s="225"/>
    </row>
    <row r="84" spans="1:18">
      <c r="A84" s="229" t="s">
        <v>473</v>
      </c>
      <c r="B84" s="222">
        <v>3848.95</v>
      </c>
      <c r="C84" s="245">
        <f>SUM(B78:B84)</f>
        <v>20625.189999999999</v>
      </c>
      <c r="D84" s="236">
        <v>45443</v>
      </c>
      <c r="E84" s="242">
        <v>11223.5</v>
      </c>
      <c r="F84" s="240">
        <f>944+944+8338+8338+73+545+123</f>
        <v>19305</v>
      </c>
      <c r="G84" s="239">
        <f>556.77+1442.21+3133.62+1074.74+28.83+215.33+3627.29</f>
        <v>10078.790000000001</v>
      </c>
      <c r="H84" s="239">
        <f t="shared" si="15"/>
        <v>0.5220818440818441</v>
      </c>
      <c r="I84" s="240"/>
      <c r="J84" s="240">
        <v>0</v>
      </c>
      <c r="K84" s="240"/>
      <c r="L84" s="240">
        <f>46325.28/7</f>
        <v>6617.8971428571431</v>
      </c>
      <c r="M84" s="240">
        <f t="shared" si="16"/>
        <v>12687.102857142858</v>
      </c>
      <c r="N84" s="222">
        <f>L84*H84</f>
        <v>3455.0839442868246</v>
      </c>
      <c r="O84" s="222">
        <f>E84-N84</f>
        <v>7768.4160557131754</v>
      </c>
      <c r="P84" s="222">
        <f>O84+N84</f>
        <v>11223.5</v>
      </c>
      <c r="Q84" s="225"/>
      <c r="R84" s="225"/>
    </row>
    <row r="85" spans="1:18">
      <c r="A85" s="229" t="s">
        <v>474</v>
      </c>
      <c r="B85" s="222">
        <v>2992.81</v>
      </c>
      <c r="C85" s="225"/>
      <c r="D85" s="236">
        <v>45473</v>
      </c>
      <c r="E85" s="242">
        <v>11630.64</v>
      </c>
      <c r="F85" s="243">
        <f>1327+1327+8315+8315+29+262+148.48</f>
        <v>19723.48</v>
      </c>
      <c r="G85" s="239">
        <f>771.24+2047.94+3075.39+1050.35+11.28+101.91+4413.02</f>
        <v>11471.130000000001</v>
      </c>
      <c r="H85" s="239">
        <f>G85/F85</f>
        <v>0.58159766937680379</v>
      </c>
      <c r="I85" s="240"/>
      <c r="J85" s="240">
        <v>0</v>
      </c>
      <c r="K85" s="240"/>
      <c r="L85" s="240">
        <f t="shared" ref="L85:L90" si="20">46325.28/7</f>
        <v>6617.8971428571431</v>
      </c>
      <c r="M85" s="243">
        <f>F85-L85</f>
        <v>13105.582857142857</v>
      </c>
      <c r="N85" s="222">
        <f t="shared" ref="N85:N90" si="21">L85*H85</f>
        <v>3848.9535544611231</v>
      </c>
      <c r="O85" s="222">
        <f t="shared" ref="O85:O90" si="22">E85-N85</f>
        <v>7781.6864455388768</v>
      </c>
      <c r="P85" s="222">
        <f t="shared" ref="P85:P91" si="23">O85+N85</f>
        <v>11630.64</v>
      </c>
      <c r="Q85" s="225"/>
      <c r="R85" s="225"/>
    </row>
    <row r="86" spans="1:18">
      <c r="A86" s="229" t="s">
        <v>475</v>
      </c>
      <c r="B86" s="222">
        <v>2125.0300000000002</v>
      </c>
      <c r="C86" s="225"/>
      <c r="D86" s="236">
        <v>45504</v>
      </c>
      <c r="E86" s="242">
        <v>11013.94</v>
      </c>
      <c r="F86" s="243">
        <f>920+920+8072+8072+54+293+69.17</f>
        <v>18400.169999999998</v>
      </c>
      <c r="G86" s="239">
        <f>528.45+1520.39+2937.69+988.85+20.69+112.29+2212.74</f>
        <v>8321.1</v>
      </c>
      <c r="H86" s="239">
        <f t="shared" si="15"/>
        <v>0.45222951744467582</v>
      </c>
      <c r="I86" s="240"/>
      <c r="J86" s="240">
        <v>0</v>
      </c>
      <c r="K86" s="240"/>
      <c r="L86" s="240">
        <f t="shared" si="20"/>
        <v>6617.8971428571431</v>
      </c>
      <c r="M86" s="243">
        <f t="shared" si="16"/>
        <v>11782.272857142856</v>
      </c>
      <c r="N86" s="222">
        <f t="shared" si="21"/>
        <v>2992.8084314127846</v>
      </c>
      <c r="O86" s="222">
        <f t="shared" si="22"/>
        <v>8021.131568587216</v>
      </c>
      <c r="P86" s="222">
        <f t="shared" si="23"/>
        <v>11013.94</v>
      </c>
      <c r="Q86" s="225"/>
      <c r="R86" s="225"/>
    </row>
    <row r="87" spans="1:18">
      <c r="A87" s="229" t="s">
        <v>476</v>
      </c>
      <c r="B87" s="222">
        <v>3415.93</v>
      </c>
      <c r="C87" s="225"/>
      <c r="D87" s="236">
        <v>45535</v>
      </c>
      <c r="E87" s="242">
        <v>12836.34</v>
      </c>
      <c r="F87" s="243">
        <f>1077+1077+11421+11421+51+307+148.28</f>
        <v>25502.28</v>
      </c>
      <c r="G87" s="239">
        <f>610.66+1756.92+4102.97+1381.1+19.28+116.13+201.83</f>
        <v>8188.8899999999994</v>
      </c>
      <c r="H87" s="239">
        <f t="shared" si="15"/>
        <v>0.32110423068055088</v>
      </c>
      <c r="I87" s="240"/>
      <c r="J87" s="240">
        <v>0</v>
      </c>
      <c r="K87" s="240"/>
      <c r="L87" s="240">
        <f t="shared" si="20"/>
        <v>6617.8971428571431</v>
      </c>
      <c r="M87" s="243">
        <f t="shared" si="16"/>
        <v>18884.382857142857</v>
      </c>
      <c r="N87" s="222">
        <f t="shared" si="21"/>
        <v>2125.0347707801589</v>
      </c>
      <c r="O87" s="222">
        <f t="shared" si="22"/>
        <v>10711.305229219841</v>
      </c>
      <c r="P87" s="222">
        <f t="shared" si="23"/>
        <v>12836.34</v>
      </c>
      <c r="Q87" s="225"/>
      <c r="R87" s="225"/>
    </row>
    <row r="88" spans="1:18">
      <c r="A88" s="229" t="s">
        <v>477</v>
      </c>
      <c r="B88" s="222">
        <v>2687.33</v>
      </c>
      <c r="C88" s="225"/>
      <c r="D88" s="236">
        <v>45565</v>
      </c>
      <c r="E88" s="242">
        <v>15086.01</v>
      </c>
      <c r="F88" s="243">
        <f>1547+1547+11924+11924+47+322+153.89</f>
        <v>27464.89</v>
      </c>
      <c r="G88" s="239">
        <f>880.32+2532.73+4299.11+1447.13+17.84+122.26+4877.05</f>
        <v>14176.440000000002</v>
      </c>
      <c r="H88" s="239">
        <f t="shared" si="15"/>
        <v>0.51616591218825203</v>
      </c>
      <c r="I88" s="240"/>
      <c r="J88" s="240">
        <v>0</v>
      </c>
      <c r="K88" s="240"/>
      <c r="L88" s="240">
        <f t="shared" si="20"/>
        <v>6617.8971428571431</v>
      </c>
      <c r="M88" s="243">
        <f t="shared" si="16"/>
        <v>20846.992857142857</v>
      </c>
      <c r="N88" s="222">
        <f t="shared" si="21"/>
        <v>3415.932915510884</v>
      </c>
      <c r="O88" s="222">
        <f t="shared" si="22"/>
        <v>11670.077084489116</v>
      </c>
      <c r="P88" s="222">
        <f t="shared" si="23"/>
        <v>15086.01</v>
      </c>
      <c r="Q88" s="225"/>
      <c r="R88" s="225"/>
    </row>
    <row r="89" spans="1:18">
      <c r="A89" s="229" t="s">
        <v>478</v>
      </c>
      <c r="B89" s="222">
        <v>3056.86</v>
      </c>
      <c r="C89" s="225"/>
      <c r="D89" s="236">
        <v>45596</v>
      </c>
      <c r="E89" s="242">
        <v>19508.560000000001</v>
      </c>
      <c r="F89" s="243">
        <f>2727+2727+12674+12674+34+318+157.93</f>
        <v>31311.93</v>
      </c>
      <c r="G89" s="239">
        <f>1554.43+4472.2+1540.76+12.92+120.95+5013.58</f>
        <v>12714.84</v>
      </c>
      <c r="H89" s="239">
        <f t="shared" si="15"/>
        <v>0.4060701464266176</v>
      </c>
      <c r="I89" s="240"/>
      <c r="J89" s="240">
        <v>0</v>
      </c>
      <c r="K89" s="240"/>
      <c r="L89" s="240">
        <f t="shared" si="20"/>
        <v>6617.8971428571431</v>
      </c>
      <c r="M89" s="243">
        <f t="shared" si="16"/>
        <v>24694.032857142858</v>
      </c>
      <c r="N89" s="222">
        <f t="shared" si="21"/>
        <v>2687.3304618362945</v>
      </c>
      <c r="O89" s="222">
        <f t="shared" si="22"/>
        <v>16821.229538163709</v>
      </c>
      <c r="P89" s="222">
        <f t="shared" si="23"/>
        <v>19508.560000000005</v>
      </c>
      <c r="Q89" s="225"/>
      <c r="R89" s="225"/>
    </row>
    <row r="90" spans="1:18">
      <c r="A90" s="244" t="s">
        <v>479</v>
      </c>
      <c r="B90" s="245">
        <f>SUM(B78:B89)</f>
        <v>34903.15</v>
      </c>
      <c r="C90" s="225"/>
      <c r="D90" s="236">
        <v>45626</v>
      </c>
      <c r="E90" s="242">
        <v>16491.09</v>
      </c>
      <c r="F90" s="246">
        <f>1684+1684+14984+14984+65+451+140.22</f>
        <v>33992.22</v>
      </c>
      <c r="G90" s="239">
        <f>4479.41+172.6+24.87+1833.07+5445.68+2779.68+965.96</f>
        <v>15701.27</v>
      </c>
      <c r="H90" s="239">
        <f t="shared" si="15"/>
        <v>0.46190775418610491</v>
      </c>
      <c r="I90" s="247">
        <v>45671</v>
      </c>
      <c r="J90" s="240">
        <v>0</v>
      </c>
      <c r="K90" s="240" t="s">
        <v>564</v>
      </c>
      <c r="L90" s="240">
        <f t="shared" si="20"/>
        <v>6617.8971428571431</v>
      </c>
      <c r="M90" s="246">
        <f t="shared" si="16"/>
        <v>27374.322857142859</v>
      </c>
      <c r="N90" s="222">
        <f t="shared" si="21"/>
        <v>3056.8580066917834</v>
      </c>
      <c r="O90" s="222">
        <f t="shared" si="22"/>
        <v>13434.231993308216</v>
      </c>
      <c r="P90" s="222">
        <f t="shared" si="23"/>
        <v>16491.09</v>
      </c>
      <c r="Q90" s="225"/>
      <c r="R90" s="225"/>
    </row>
    <row r="91" spans="1:18" ht="15.75" thickBot="1">
      <c r="A91" s="248"/>
      <c r="B91" s="249"/>
      <c r="C91" s="225"/>
      <c r="D91" s="225"/>
      <c r="E91" s="225"/>
      <c r="F91" s="225"/>
      <c r="G91" s="245"/>
      <c r="H91" s="225"/>
      <c r="I91" s="225"/>
      <c r="J91" s="225"/>
      <c r="K91" s="225"/>
      <c r="L91" s="225"/>
      <c r="M91" s="225"/>
      <c r="N91" s="245">
        <f>SUM(N79:N90)</f>
        <v>34903.270083333431</v>
      </c>
      <c r="O91" s="245">
        <f>SUM(O79:O90)</f>
        <v>135150.26991666656</v>
      </c>
      <c r="P91" s="245">
        <f t="shared" si="23"/>
        <v>170053.53999999998</v>
      </c>
      <c r="Q91" s="225"/>
      <c r="R91" s="225"/>
    </row>
    <row r="92" spans="1:18">
      <c r="A92" s="225"/>
      <c r="B92" s="225"/>
      <c r="C92" s="225"/>
      <c r="D92" s="225"/>
      <c r="E92" s="250" t="s">
        <v>565</v>
      </c>
      <c r="F92" s="250">
        <v>25099.995709999999</v>
      </c>
      <c r="G92" s="245"/>
      <c r="H92" s="225"/>
      <c r="I92" s="251"/>
      <c r="J92" s="245"/>
      <c r="K92" s="225"/>
      <c r="L92" s="225"/>
      <c r="M92" s="225"/>
      <c r="N92" s="225"/>
      <c r="O92" s="225"/>
      <c r="P92" s="225"/>
      <c r="Q92" s="225"/>
      <c r="R92" s="225"/>
    </row>
    <row r="93" spans="1:18">
      <c r="A93" s="225"/>
      <c r="B93" s="225"/>
      <c r="C93" s="225" t="s">
        <v>580</v>
      </c>
      <c r="D93" s="225"/>
      <c r="E93" s="225" t="s">
        <v>566</v>
      </c>
      <c r="F93" s="225">
        <f>F92/5</f>
        <v>5019.9991419999997</v>
      </c>
      <c r="G93" s="245">
        <f>H80+H79+H81+H82+H83+H84</f>
        <v>3.1757213411289089</v>
      </c>
      <c r="H93" s="245"/>
      <c r="I93" s="245"/>
      <c r="J93" s="225"/>
      <c r="K93" s="225"/>
      <c r="L93" s="225"/>
      <c r="M93" s="225"/>
      <c r="N93" s="225"/>
      <c r="O93" s="225"/>
      <c r="P93" s="225"/>
      <c r="Q93" s="225"/>
      <c r="R93" s="225"/>
    </row>
    <row r="94" spans="1:18">
      <c r="A94" s="225"/>
      <c r="B94" s="225"/>
      <c r="C94" s="225"/>
      <c r="D94" s="24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</row>
    <row r="97" spans="1:17">
      <c r="A97" s="268" t="s">
        <v>581</v>
      </c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</row>
    <row r="98" spans="1:17">
      <c r="A98" s="269" t="s">
        <v>468</v>
      </c>
      <c r="B98" s="270">
        <v>244621.05</v>
      </c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</row>
    <row r="99" spans="1:17">
      <c r="A99" s="269" t="s">
        <v>448</v>
      </c>
      <c r="B99" s="270">
        <v>186712.94</v>
      </c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</row>
    <row r="100" spans="1:17">
      <c r="A100" s="269" t="s">
        <v>469</v>
      </c>
      <c r="B100" s="270">
        <v>323377.91999999998</v>
      </c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</row>
    <row r="101" spans="1:17">
      <c r="A101" s="269" t="s">
        <v>470</v>
      </c>
      <c r="B101" s="270">
        <v>275781.23</v>
      </c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</row>
    <row r="102" spans="1:17">
      <c r="A102" s="269" t="s">
        <v>471</v>
      </c>
      <c r="B102" s="270">
        <v>36467.480000000003</v>
      </c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</row>
    <row r="103" spans="1:17">
      <c r="A103" s="269" t="s">
        <v>472</v>
      </c>
      <c r="B103" s="270">
        <v>149255.21</v>
      </c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</row>
    <row r="104" spans="1:17">
      <c r="A104" s="269" t="s">
        <v>473</v>
      </c>
      <c r="B104" s="270">
        <v>229846.48</v>
      </c>
      <c r="C104" s="272">
        <f>SUM(B98:B104)</f>
        <v>1446062.3099999998</v>
      </c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</row>
    <row r="105" spans="1:17">
      <c r="A105" s="269" t="s">
        <v>474</v>
      </c>
      <c r="B105" s="270">
        <v>82709.14</v>
      </c>
      <c r="C105" s="268">
        <v>9408.98</v>
      </c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</row>
    <row r="106" spans="1:17">
      <c r="A106" s="269" t="s">
        <v>475</v>
      </c>
      <c r="B106" s="270">
        <v>117587.7</v>
      </c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</row>
    <row r="107" spans="1:17">
      <c r="A107" s="269" t="s">
        <v>476</v>
      </c>
      <c r="B107" s="270">
        <v>11767</v>
      </c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</row>
    <row r="108" spans="1:17">
      <c r="A108" s="269" t="s">
        <v>477</v>
      </c>
      <c r="B108" s="270">
        <v>0</v>
      </c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</row>
    <row r="109" spans="1:17">
      <c r="A109" s="269" t="s">
        <v>478</v>
      </c>
      <c r="B109" s="270">
        <v>0</v>
      </c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</row>
    <row r="110" spans="1:17">
      <c r="A110" s="271" t="s">
        <v>479</v>
      </c>
      <c r="B110" s="272">
        <f>SUM(B98:B109)</f>
        <v>1658126.1499999997</v>
      </c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</row>
    <row r="111" spans="1:17" ht="15.75" thickBot="1">
      <c r="A111" s="273"/>
      <c r="B111" s="274"/>
      <c r="C111" s="268" t="s">
        <v>580</v>
      </c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</row>
    <row r="112" spans="1:17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</row>
    <row r="116" spans="1:6" ht="15.75" thickBot="1"/>
    <row r="117" spans="1:6">
      <c r="B117" s="328" t="s">
        <v>588</v>
      </c>
      <c r="C117" s="329"/>
      <c r="D117" s="329"/>
      <c r="E117" s="329"/>
      <c r="F117" s="330"/>
    </row>
    <row r="118" spans="1:6">
      <c r="B118" s="331"/>
      <c r="C118" s="332"/>
      <c r="D118" s="332"/>
      <c r="E118" s="332"/>
      <c r="F118" s="333"/>
    </row>
    <row r="119" spans="1:6">
      <c r="B119" s="331" t="s">
        <v>589</v>
      </c>
      <c r="C119" s="332"/>
      <c r="D119" s="332" t="s">
        <v>590</v>
      </c>
      <c r="E119" s="332"/>
      <c r="F119" s="333"/>
    </row>
    <row r="120" spans="1:6">
      <c r="A120" t="s">
        <v>609</v>
      </c>
      <c r="B120" s="334">
        <f>B110</f>
        <v>1658126.1499999997</v>
      </c>
      <c r="C120" s="332"/>
      <c r="D120" s="342">
        <f>B37</f>
        <v>2115343.2400000002</v>
      </c>
      <c r="E120" s="332"/>
      <c r="F120" s="333"/>
    </row>
    <row r="121" spans="1:6">
      <c r="A121" t="s">
        <v>610</v>
      </c>
      <c r="B121" s="334">
        <f>B90</f>
        <v>34903.15</v>
      </c>
      <c r="C121" s="332"/>
      <c r="D121" s="332"/>
      <c r="E121" s="332"/>
      <c r="F121" s="333"/>
    </row>
    <row r="122" spans="1:6">
      <c r="A122" s="8" t="s">
        <v>611</v>
      </c>
      <c r="B122" s="334">
        <f>B71</f>
        <v>76890</v>
      </c>
      <c r="C122" s="332"/>
      <c r="D122" s="332"/>
      <c r="E122" s="332"/>
      <c r="F122" s="333"/>
    </row>
    <row r="123" spans="1:6">
      <c r="A123" s="8" t="s">
        <v>612</v>
      </c>
      <c r="B123" s="334">
        <f>B55</f>
        <v>87721.599999999991</v>
      </c>
      <c r="C123" s="332"/>
      <c r="D123" s="332"/>
      <c r="E123" s="332"/>
      <c r="F123" s="333"/>
    </row>
    <row r="124" spans="1:6">
      <c r="A124" t="s">
        <v>613</v>
      </c>
      <c r="B124" s="334">
        <f>B14</f>
        <v>172791.57399999996</v>
      </c>
      <c r="C124" s="332"/>
      <c r="D124" s="332"/>
      <c r="E124" s="332"/>
      <c r="F124" s="333"/>
    </row>
    <row r="125" spans="1:6">
      <c r="A125" t="s">
        <v>615</v>
      </c>
      <c r="B125" s="334">
        <f>SUM(B120:B124)</f>
        <v>2030432.4739999997</v>
      </c>
      <c r="C125" s="332"/>
      <c r="D125" s="332"/>
      <c r="E125" s="332"/>
      <c r="F125" s="333"/>
    </row>
    <row r="126" spans="1:6">
      <c r="B126" s="341"/>
      <c r="C126" s="332"/>
      <c r="D126" s="332"/>
      <c r="E126" s="332"/>
      <c r="F126" s="333"/>
    </row>
    <row r="127" spans="1:6">
      <c r="B127" s="331"/>
      <c r="C127" s="332"/>
      <c r="D127" s="332"/>
      <c r="E127" s="332"/>
      <c r="F127" s="333"/>
    </row>
    <row r="128" spans="1:6">
      <c r="B128" s="331" t="s">
        <v>605</v>
      </c>
      <c r="C128" s="332"/>
      <c r="D128" s="332"/>
      <c r="E128" s="332"/>
      <c r="F128" s="333"/>
    </row>
    <row r="129" spans="2:6">
      <c r="B129" s="334">
        <f>D120-B125</f>
        <v>84910.766000000527</v>
      </c>
      <c r="C129" s="332"/>
      <c r="D129" s="332"/>
      <c r="E129" s="332"/>
      <c r="F129" s="333"/>
    </row>
    <row r="130" spans="2:6">
      <c r="B130" s="331" t="s">
        <v>606</v>
      </c>
      <c r="C130" s="332"/>
      <c r="D130" s="332"/>
      <c r="E130" s="332"/>
      <c r="F130" s="333"/>
    </row>
    <row r="131" spans="2:6">
      <c r="B131" s="334">
        <f>B129</f>
        <v>84910.766000000527</v>
      </c>
      <c r="C131" s="332" t="s">
        <v>607</v>
      </c>
      <c r="D131" s="332"/>
      <c r="E131" s="332"/>
      <c r="F131" s="333"/>
    </row>
    <row r="132" spans="2:6">
      <c r="B132" s="331"/>
      <c r="C132" s="332"/>
      <c r="D132" s="332"/>
      <c r="E132" s="332"/>
      <c r="F132" s="333"/>
    </row>
    <row r="133" spans="2:6">
      <c r="B133" s="331"/>
      <c r="C133" s="332"/>
      <c r="D133" s="332"/>
      <c r="E133" s="332"/>
      <c r="F133" s="333"/>
    </row>
    <row r="134" spans="2:6">
      <c r="B134" s="331"/>
      <c r="C134" s="332"/>
      <c r="D134" s="332"/>
      <c r="E134" s="332"/>
      <c r="F134" s="333"/>
    </row>
    <row r="135" spans="2:6">
      <c r="B135" s="331"/>
      <c r="C135" s="332"/>
      <c r="D135" s="332"/>
      <c r="E135" s="332"/>
      <c r="F135" s="333"/>
    </row>
    <row r="136" spans="2:6" ht="14.25" customHeight="1">
      <c r="B136" s="331"/>
      <c r="C136" s="332"/>
      <c r="D136" s="332"/>
      <c r="E136" s="332"/>
      <c r="F136" s="333"/>
    </row>
    <row r="137" spans="2:6" ht="15.75" thickBot="1">
      <c r="B137" s="335"/>
      <c r="C137" s="336"/>
      <c r="D137" s="336"/>
      <c r="E137" s="336"/>
      <c r="F137" s="337"/>
    </row>
    <row r="140" spans="2:6">
      <c r="B140" s="76">
        <f>C104+C31+C8</f>
        <v>2358450.5779999997</v>
      </c>
    </row>
  </sheetData>
  <mergeCells count="16">
    <mergeCell ref="P47:P50"/>
    <mergeCell ref="BF2:BF3"/>
    <mergeCell ref="G2:G3"/>
    <mergeCell ref="I2:K2"/>
    <mergeCell ref="M2:O2"/>
    <mergeCell ref="Q2:S2"/>
    <mergeCell ref="U2:W2"/>
    <mergeCell ref="Y2:AA2"/>
    <mergeCell ref="AC2:AE2"/>
    <mergeCell ref="AG2:AI2"/>
    <mergeCell ref="AK2:AM2"/>
    <mergeCell ref="AO2:AQ2"/>
    <mergeCell ref="AS2:AU2"/>
    <mergeCell ref="AW2:AY2"/>
    <mergeCell ref="BA2:BC2"/>
    <mergeCell ref="BE2:BE3"/>
  </mergeCells>
  <conditionalFormatting sqref="BE22">
    <cfRule type="containsText" dxfId="5" priority="5" operator="containsText" text="STATUS">
      <formula>NOT(ISERROR(SEARCH("STATUS",BE22)))</formula>
    </cfRule>
    <cfRule type="containsText" dxfId="4" priority="6" operator="containsText" text="LA ORANA">
      <formula>NOT(ISERROR(SEARCH("LA ORANA",BE22)))</formula>
    </cfRule>
  </conditionalFormatting>
  <conditionalFormatting sqref="BF1:BF2">
    <cfRule type="containsText" dxfId="3" priority="3" operator="containsText" text="STATUS">
      <formula>NOT(ISERROR(SEARCH("STATUS",BF1)))</formula>
    </cfRule>
    <cfRule type="containsText" dxfId="2" priority="4" operator="containsText" text="LA ORANA">
      <formula>NOT(ISERROR(SEARCH("LA ORANA",BF1)))</formula>
    </cfRule>
  </conditionalFormatting>
  <conditionalFormatting sqref="BF4:BF21">
    <cfRule type="containsText" dxfId="1" priority="1" operator="containsText" text="STATUS">
      <formula>NOT(ISERROR(SEARCH("STATUS",BF4)))</formula>
    </cfRule>
    <cfRule type="containsText" dxfId="0" priority="2" operator="containsText" text="LA ORANA">
      <formula>NOT(ISERROR(SEARCH("LA ORANA",BF4)))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3AF6-27D6-471C-82FD-06EA74D584AC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9"/>
  <sheetViews>
    <sheetView topLeftCell="A25" zoomScale="93" zoomScaleNormal="93" workbookViewId="0">
      <selection activeCell="J20" sqref="J20"/>
    </sheetView>
  </sheetViews>
  <sheetFormatPr defaultRowHeight="15"/>
  <cols>
    <col min="1" max="1" width="3.85546875" customWidth="1"/>
    <col min="2" max="2" width="14.85546875" customWidth="1"/>
    <col min="3" max="3" width="25" customWidth="1"/>
    <col min="4" max="4" width="7.28515625" customWidth="1"/>
    <col min="6" max="6" width="16.5703125" customWidth="1"/>
    <col min="7" max="7" width="6.5703125" customWidth="1"/>
    <col min="8" max="8" width="14.42578125" customWidth="1"/>
    <col min="9" max="9" width="15.85546875" customWidth="1"/>
    <col min="10" max="10" width="16.28515625" customWidth="1"/>
    <col min="11" max="11" width="15.85546875" customWidth="1"/>
    <col min="12" max="12" width="17" customWidth="1"/>
    <col min="13" max="13" width="21" customWidth="1"/>
  </cols>
  <sheetData>
    <row r="1" spans="1:15">
      <c r="B1" s="356" t="s">
        <v>381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</row>
    <row r="2" spans="1:15">
      <c r="B2" s="357" t="s">
        <v>382</v>
      </c>
      <c r="C2" s="357"/>
      <c r="D2" s="357"/>
      <c r="E2" s="357"/>
      <c r="F2" s="357"/>
      <c r="G2" s="357"/>
      <c r="H2" s="357"/>
      <c r="I2" s="357"/>
      <c r="J2" s="357"/>
      <c r="K2" s="357"/>
      <c r="L2" s="357"/>
      <c r="O2" t="s">
        <v>395</v>
      </c>
    </row>
    <row r="3" spans="1:15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O3" t="s">
        <v>396</v>
      </c>
    </row>
    <row r="4" spans="1:15">
      <c r="B4" s="78" t="s">
        <v>0</v>
      </c>
      <c r="C4" s="79" t="s">
        <v>383</v>
      </c>
      <c r="D4" s="79" t="s">
        <v>1</v>
      </c>
      <c r="E4" s="79" t="s">
        <v>384</v>
      </c>
      <c r="F4" s="79" t="s">
        <v>385</v>
      </c>
      <c r="G4" s="79" t="s">
        <v>386</v>
      </c>
      <c r="H4" s="79" t="s">
        <v>387</v>
      </c>
      <c r="I4" s="79" t="s">
        <v>388</v>
      </c>
      <c r="J4" s="79" t="s">
        <v>389</v>
      </c>
      <c r="K4" s="79" t="s">
        <v>390</v>
      </c>
      <c r="L4" s="80" t="s">
        <v>391</v>
      </c>
    </row>
    <row r="5" spans="1:15">
      <c r="A5">
        <v>1</v>
      </c>
      <c r="B5" s="100">
        <v>45321</v>
      </c>
      <c r="C5" s="101" t="s">
        <v>408</v>
      </c>
      <c r="D5" s="101" t="s">
        <v>8</v>
      </c>
      <c r="E5" s="101">
        <v>352</v>
      </c>
      <c r="F5" s="102">
        <v>2250</v>
      </c>
      <c r="G5" s="101">
        <v>110</v>
      </c>
      <c r="H5" s="102">
        <f>90</f>
        <v>90</v>
      </c>
      <c r="I5" s="103">
        <f>G5*H5</f>
        <v>9900</v>
      </c>
      <c r="J5" s="103"/>
      <c r="K5" s="103">
        <f>I5*0.2</f>
        <v>1980</v>
      </c>
      <c r="L5" s="103">
        <f>I5-K5-J5</f>
        <v>7920</v>
      </c>
      <c r="M5" s="76">
        <f>L5</f>
        <v>7920</v>
      </c>
    </row>
    <row r="6" spans="1:15">
      <c r="A6">
        <v>3</v>
      </c>
      <c r="B6" s="96">
        <v>45324</v>
      </c>
      <c r="C6" s="97" t="s">
        <v>55</v>
      </c>
      <c r="D6" s="97" t="s">
        <v>8</v>
      </c>
      <c r="E6" s="97">
        <v>288</v>
      </c>
      <c r="F6" s="98">
        <f>2340+1384</f>
        <v>3724</v>
      </c>
      <c r="G6" s="97">
        <v>342</v>
      </c>
      <c r="H6" s="98">
        <f>125+8</f>
        <v>133</v>
      </c>
      <c r="I6" s="99">
        <f>G6*H6</f>
        <v>45486</v>
      </c>
      <c r="J6" s="99"/>
      <c r="K6" s="99">
        <f>I6*0.2</f>
        <v>9097.2000000000007</v>
      </c>
      <c r="L6" s="99">
        <f t="shared" ref="L6:L7" si="0">I6-K6-J6</f>
        <v>36388.800000000003</v>
      </c>
    </row>
    <row r="7" spans="1:15">
      <c r="A7">
        <v>4</v>
      </c>
      <c r="B7" s="96">
        <v>45325</v>
      </c>
      <c r="C7" s="97" t="s">
        <v>426</v>
      </c>
      <c r="D7" s="97" t="s">
        <v>8</v>
      </c>
      <c r="E7" s="97">
        <v>2</v>
      </c>
      <c r="F7" s="98">
        <f>400+250+100+500</f>
        <v>1250</v>
      </c>
      <c r="G7" s="97">
        <v>400</v>
      </c>
      <c r="H7" s="98">
        <f>60</f>
        <v>60</v>
      </c>
      <c r="I7" s="99">
        <f>G7*H7</f>
        <v>24000</v>
      </c>
      <c r="J7" s="99">
        <f>I7*10%</f>
        <v>2400</v>
      </c>
      <c r="K7" s="99">
        <f>I7*0.2</f>
        <v>4800</v>
      </c>
      <c r="L7" s="99">
        <f t="shared" si="0"/>
        <v>16800</v>
      </c>
    </row>
    <row r="8" spans="1:15">
      <c r="A8">
        <v>5</v>
      </c>
      <c r="B8" s="96">
        <v>45332</v>
      </c>
      <c r="C8" s="97" t="s">
        <v>416</v>
      </c>
      <c r="D8" s="97" t="s">
        <v>8</v>
      </c>
      <c r="E8" s="97">
        <v>278</v>
      </c>
      <c r="F8" s="98">
        <v>0</v>
      </c>
      <c r="G8" s="97">
        <v>887</v>
      </c>
      <c r="H8" s="98">
        <f>9+89.1</f>
        <v>98.1</v>
      </c>
      <c r="I8" s="99">
        <f>G8*H8</f>
        <v>87014.7</v>
      </c>
      <c r="J8" s="99">
        <f>I8*10%</f>
        <v>8701.4699999999993</v>
      </c>
      <c r="K8" s="99">
        <f>I8*0.2</f>
        <v>17402.939999999999</v>
      </c>
      <c r="L8" s="99">
        <f>I8-K8-J8</f>
        <v>60910.289999999994</v>
      </c>
    </row>
    <row r="9" spans="1:15">
      <c r="A9">
        <v>7</v>
      </c>
      <c r="B9" s="96">
        <v>45339</v>
      </c>
      <c r="C9" s="97" t="s">
        <v>419</v>
      </c>
      <c r="D9" s="97" t="s">
        <v>8</v>
      </c>
      <c r="E9" s="97">
        <v>201</v>
      </c>
      <c r="F9" s="98">
        <v>0</v>
      </c>
      <c r="G9" s="97">
        <v>827</v>
      </c>
      <c r="H9" s="98">
        <f>70.5</f>
        <v>70.5</v>
      </c>
      <c r="I9" s="99">
        <f t="shared" ref="I9:I14" si="1">G9*H9</f>
        <v>58303.5</v>
      </c>
      <c r="J9" s="99">
        <f t="shared" ref="J9:J16" si="2">I9*10%</f>
        <v>5830.35</v>
      </c>
      <c r="K9" s="99">
        <f t="shared" ref="K9:K14" si="3">I9*0.2</f>
        <v>11660.7</v>
      </c>
      <c r="L9" s="99">
        <f t="shared" ref="L9:L10" si="4">I9-K9-J9</f>
        <v>40812.450000000004</v>
      </c>
    </row>
    <row r="10" spans="1:15">
      <c r="A10">
        <v>8</v>
      </c>
      <c r="B10" s="96">
        <v>45345</v>
      </c>
      <c r="C10" s="97" t="s">
        <v>409</v>
      </c>
      <c r="D10" s="97" t="s">
        <v>8</v>
      </c>
      <c r="E10" s="97">
        <v>365</v>
      </c>
      <c r="F10" s="98">
        <v>0</v>
      </c>
      <c r="G10" s="97">
        <v>247</v>
      </c>
      <c r="H10" s="98">
        <f>127+10</f>
        <v>137</v>
      </c>
      <c r="I10" s="99">
        <f t="shared" si="1"/>
        <v>33839</v>
      </c>
      <c r="J10" s="99">
        <f t="shared" si="2"/>
        <v>3383.9</v>
      </c>
      <c r="K10" s="99">
        <f t="shared" si="3"/>
        <v>6767.8</v>
      </c>
      <c r="L10" s="99">
        <f t="shared" si="4"/>
        <v>23687.3</v>
      </c>
    </row>
    <row r="11" spans="1:15">
      <c r="A11">
        <v>9</v>
      </c>
      <c r="B11" s="96">
        <v>45346</v>
      </c>
      <c r="C11" s="97" t="s">
        <v>412</v>
      </c>
      <c r="D11" s="97" t="s">
        <v>8</v>
      </c>
      <c r="E11" s="97">
        <v>316</v>
      </c>
      <c r="F11" s="98">
        <v>0</v>
      </c>
      <c r="G11" s="97">
        <v>772</v>
      </c>
      <c r="H11" s="98">
        <v>90</v>
      </c>
      <c r="I11" s="99">
        <f t="shared" si="1"/>
        <v>69480</v>
      </c>
      <c r="J11" s="99">
        <f t="shared" si="2"/>
        <v>6948</v>
      </c>
      <c r="K11" s="99">
        <f t="shared" si="3"/>
        <v>13896</v>
      </c>
      <c r="L11" s="99">
        <f>I11-K11-J11</f>
        <v>48636</v>
      </c>
      <c r="M11" s="76">
        <f>L11+L10+L9+L8+L7+L6</f>
        <v>227234.83999999997</v>
      </c>
    </row>
    <row r="12" spans="1:15">
      <c r="A12">
        <v>10</v>
      </c>
      <c r="B12" s="119">
        <v>45353</v>
      </c>
      <c r="C12" s="120" t="s">
        <v>421</v>
      </c>
      <c r="D12" s="120" t="s">
        <v>8</v>
      </c>
      <c r="E12" s="120">
        <v>190</v>
      </c>
      <c r="F12" s="121">
        <v>0</v>
      </c>
      <c r="G12" s="120">
        <v>440</v>
      </c>
      <c r="H12" s="121">
        <v>45</v>
      </c>
      <c r="I12" s="122">
        <f t="shared" si="1"/>
        <v>19800</v>
      </c>
      <c r="J12" s="122">
        <f t="shared" si="2"/>
        <v>1980</v>
      </c>
      <c r="K12" s="122">
        <f t="shared" si="3"/>
        <v>3960</v>
      </c>
      <c r="L12" s="122">
        <f t="shared" ref="L12:L24" si="5">I12-K12-J12</f>
        <v>13860</v>
      </c>
    </row>
    <row r="13" spans="1:15">
      <c r="A13">
        <v>11</v>
      </c>
      <c r="B13" s="119">
        <v>45359</v>
      </c>
      <c r="C13" s="120" t="s">
        <v>16</v>
      </c>
      <c r="D13" s="120" t="s">
        <v>8</v>
      </c>
      <c r="E13" s="120">
        <v>303</v>
      </c>
      <c r="F13" s="121">
        <v>0</v>
      </c>
      <c r="G13" s="120">
        <v>640</v>
      </c>
      <c r="H13" s="121">
        <f>102+9.9</f>
        <v>111.9</v>
      </c>
      <c r="I13" s="122">
        <f t="shared" si="1"/>
        <v>71616</v>
      </c>
      <c r="J13" s="122">
        <f t="shared" si="2"/>
        <v>7161.6</v>
      </c>
      <c r="K13" s="122">
        <f t="shared" si="3"/>
        <v>14323.2</v>
      </c>
      <c r="L13" s="122">
        <f t="shared" si="5"/>
        <v>50131.200000000004</v>
      </c>
    </row>
    <row r="14" spans="1:15">
      <c r="A14">
        <v>12</v>
      </c>
      <c r="B14" s="119">
        <v>45360</v>
      </c>
      <c r="C14" s="120" t="s">
        <v>422</v>
      </c>
      <c r="D14" s="120" t="s">
        <v>8</v>
      </c>
      <c r="E14" s="120">
        <v>187</v>
      </c>
      <c r="F14" s="121">
        <v>0</v>
      </c>
      <c r="G14" s="120">
        <v>760</v>
      </c>
      <c r="H14" s="121">
        <f>45</f>
        <v>45</v>
      </c>
      <c r="I14" s="122">
        <f t="shared" si="1"/>
        <v>34200</v>
      </c>
      <c r="J14" s="122">
        <f t="shared" si="2"/>
        <v>3420</v>
      </c>
      <c r="K14" s="122">
        <f t="shared" si="3"/>
        <v>6840</v>
      </c>
      <c r="L14" s="122">
        <f t="shared" si="5"/>
        <v>23940</v>
      </c>
    </row>
    <row r="15" spans="1:15">
      <c r="A15">
        <v>13</v>
      </c>
      <c r="B15" s="275">
        <v>45361</v>
      </c>
      <c r="C15" s="276" t="s">
        <v>430</v>
      </c>
      <c r="D15" s="276" t="s">
        <v>8</v>
      </c>
      <c r="E15" s="276"/>
      <c r="F15" s="277"/>
      <c r="G15" s="276"/>
      <c r="H15" s="277"/>
      <c r="I15" s="278"/>
      <c r="J15" s="122">
        <f t="shared" si="2"/>
        <v>0</v>
      </c>
      <c r="K15" s="278"/>
      <c r="L15" s="122">
        <f t="shared" si="5"/>
        <v>0</v>
      </c>
    </row>
    <row r="16" spans="1:15">
      <c r="A16">
        <v>14</v>
      </c>
      <c r="B16" s="119">
        <v>45362</v>
      </c>
      <c r="C16" s="120" t="s">
        <v>392</v>
      </c>
      <c r="D16" s="120" t="s">
        <v>8</v>
      </c>
      <c r="E16" s="120">
        <v>382</v>
      </c>
      <c r="F16" s="121">
        <v>0</v>
      </c>
      <c r="G16" s="120">
        <v>500</v>
      </c>
      <c r="H16" s="121">
        <v>70</v>
      </c>
      <c r="I16" s="122">
        <f t="shared" ref="I16:I19" si="6">G16*H16</f>
        <v>35000</v>
      </c>
      <c r="J16" s="122">
        <f t="shared" si="2"/>
        <v>3500</v>
      </c>
      <c r="K16" s="122">
        <f t="shared" ref="K16:K23" si="7">I16*0.2</f>
        <v>7000</v>
      </c>
      <c r="L16" s="122">
        <f t="shared" si="5"/>
        <v>24500</v>
      </c>
    </row>
    <row r="17" spans="1:13">
      <c r="A17">
        <v>15</v>
      </c>
      <c r="B17" s="119">
        <v>45365</v>
      </c>
      <c r="C17" s="120" t="s">
        <v>34</v>
      </c>
      <c r="D17" s="120" t="s">
        <v>8</v>
      </c>
      <c r="E17" s="120">
        <v>370</v>
      </c>
      <c r="F17" s="121">
        <v>4000</v>
      </c>
      <c r="G17" s="120">
        <v>370</v>
      </c>
      <c r="H17" s="121">
        <f>90+44.3</f>
        <v>134.30000000000001</v>
      </c>
      <c r="I17" s="122">
        <f t="shared" si="6"/>
        <v>49691.000000000007</v>
      </c>
      <c r="J17" s="122">
        <f t="shared" ref="J17:J22" si="8">I17*10%</f>
        <v>4969.1000000000013</v>
      </c>
      <c r="K17" s="122">
        <f t="shared" si="7"/>
        <v>9938.2000000000025</v>
      </c>
      <c r="L17" s="122">
        <f t="shared" si="5"/>
        <v>34783.700000000004</v>
      </c>
      <c r="M17" s="76"/>
    </row>
    <row r="18" spans="1:13">
      <c r="A18">
        <v>19</v>
      </c>
      <c r="B18" s="119">
        <v>45381</v>
      </c>
      <c r="C18" s="120" t="s">
        <v>425</v>
      </c>
      <c r="D18" s="120" t="s">
        <v>8</v>
      </c>
      <c r="E18" s="120">
        <v>250</v>
      </c>
      <c r="F18" s="121"/>
      <c r="G18" s="120">
        <v>922</v>
      </c>
      <c r="H18" s="121">
        <f>95</f>
        <v>95</v>
      </c>
      <c r="I18" s="122">
        <f t="shared" si="6"/>
        <v>87590</v>
      </c>
      <c r="J18" s="122">
        <f t="shared" si="8"/>
        <v>8759</v>
      </c>
      <c r="K18" s="122">
        <f t="shared" si="7"/>
        <v>17518</v>
      </c>
      <c r="L18" s="122">
        <f t="shared" si="5"/>
        <v>61313</v>
      </c>
      <c r="M18" s="76">
        <f>SUM(L12:L18)</f>
        <v>208527.90000000002</v>
      </c>
    </row>
    <row r="19" spans="1:13">
      <c r="A19">
        <v>21</v>
      </c>
      <c r="B19" s="96">
        <v>45388</v>
      </c>
      <c r="C19" s="97" t="s">
        <v>420</v>
      </c>
      <c r="D19" s="97" t="s">
        <v>8</v>
      </c>
      <c r="E19" s="97">
        <v>193</v>
      </c>
      <c r="F19" s="98">
        <v>0</v>
      </c>
      <c r="G19" s="97">
        <v>700</v>
      </c>
      <c r="H19" s="98">
        <f>70</f>
        <v>70</v>
      </c>
      <c r="I19" s="99">
        <f t="shared" si="6"/>
        <v>49000</v>
      </c>
      <c r="J19" s="99">
        <f t="shared" si="8"/>
        <v>4900</v>
      </c>
      <c r="K19" s="99">
        <f t="shared" si="7"/>
        <v>9800</v>
      </c>
      <c r="L19" s="99">
        <f t="shared" si="5"/>
        <v>34300</v>
      </c>
    </row>
    <row r="20" spans="1:13">
      <c r="B20" s="96">
        <v>45402</v>
      </c>
      <c r="C20" s="97" t="s">
        <v>417</v>
      </c>
      <c r="D20" s="97" t="s">
        <v>8</v>
      </c>
      <c r="E20" s="97">
        <v>266</v>
      </c>
      <c r="F20" s="98">
        <f>1250</f>
        <v>1250</v>
      </c>
      <c r="G20" s="97">
        <v>976</v>
      </c>
      <c r="H20" s="98">
        <f>88</f>
        <v>88</v>
      </c>
      <c r="I20" s="99">
        <f t="shared" ref="I20:I26" si="9">G20*H20</f>
        <v>85888</v>
      </c>
      <c r="J20" s="99">
        <f>I20*10%</f>
        <v>8588.8000000000011</v>
      </c>
      <c r="K20" s="99">
        <f>I20*0.2</f>
        <v>17177.600000000002</v>
      </c>
      <c r="L20" s="99">
        <f t="shared" si="5"/>
        <v>60121.599999999991</v>
      </c>
    </row>
    <row r="21" spans="1:13">
      <c r="A21">
        <v>24</v>
      </c>
      <c r="B21" s="96">
        <v>45409</v>
      </c>
      <c r="C21" s="97" t="s">
        <v>418</v>
      </c>
      <c r="D21" s="97" t="s">
        <v>8</v>
      </c>
      <c r="E21" s="97">
        <v>265</v>
      </c>
      <c r="F21" s="98">
        <v>0</v>
      </c>
      <c r="G21" s="97">
        <v>801</v>
      </c>
      <c r="H21" s="98">
        <f>95</f>
        <v>95</v>
      </c>
      <c r="I21" s="99">
        <f t="shared" si="9"/>
        <v>76095</v>
      </c>
      <c r="J21" s="99">
        <f t="shared" si="8"/>
        <v>7609.5</v>
      </c>
      <c r="K21" s="99">
        <f t="shared" si="7"/>
        <v>15219</v>
      </c>
      <c r="L21" s="99">
        <f t="shared" si="5"/>
        <v>53266.5</v>
      </c>
      <c r="M21" s="76">
        <f>SUM(L19:L21)</f>
        <v>147688.09999999998</v>
      </c>
    </row>
    <row r="22" spans="1:13">
      <c r="A22">
        <v>25</v>
      </c>
      <c r="B22" s="89">
        <v>45416</v>
      </c>
      <c r="C22" s="90" t="s">
        <v>22</v>
      </c>
      <c r="D22" s="90" t="s">
        <v>8</v>
      </c>
      <c r="E22" s="90">
        <v>329</v>
      </c>
      <c r="F22" s="91">
        <v>2750</v>
      </c>
      <c r="G22" s="90">
        <v>129</v>
      </c>
      <c r="H22" s="91">
        <v>147.32</v>
      </c>
      <c r="I22" s="81">
        <f t="shared" si="9"/>
        <v>19004.28</v>
      </c>
      <c r="J22" s="81">
        <f t="shared" si="8"/>
        <v>1900.4279999999999</v>
      </c>
      <c r="K22" s="81">
        <f t="shared" si="7"/>
        <v>3800.8559999999998</v>
      </c>
      <c r="L22" s="81">
        <f t="shared" si="5"/>
        <v>13302.995999999999</v>
      </c>
      <c r="M22" s="76">
        <f>L22</f>
        <v>13302.995999999999</v>
      </c>
    </row>
    <row r="23" spans="1:13">
      <c r="A23">
        <v>26</v>
      </c>
      <c r="B23" s="92">
        <v>45446</v>
      </c>
      <c r="C23" s="93" t="s">
        <v>392</v>
      </c>
      <c r="D23" s="93" t="s">
        <v>8</v>
      </c>
      <c r="E23" s="93">
        <v>433</v>
      </c>
      <c r="F23" s="94">
        <v>0</v>
      </c>
      <c r="G23" s="93">
        <v>360</v>
      </c>
      <c r="H23" s="94">
        <v>70</v>
      </c>
      <c r="I23" s="95">
        <f t="shared" si="9"/>
        <v>25200</v>
      </c>
      <c r="J23" s="95"/>
      <c r="K23" s="95">
        <f t="shared" si="7"/>
        <v>5040</v>
      </c>
      <c r="L23" s="95">
        <f t="shared" si="5"/>
        <v>20160</v>
      </c>
    </row>
    <row r="24" spans="1:13">
      <c r="A24">
        <v>28</v>
      </c>
      <c r="B24" s="92">
        <v>45462</v>
      </c>
      <c r="C24" s="93" t="s">
        <v>39</v>
      </c>
      <c r="D24" s="93" t="s">
        <v>8</v>
      </c>
      <c r="E24" s="93">
        <v>429</v>
      </c>
      <c r="F24" s="94">
        <v>8500</v>
      </c>
      <c r="G24" s="93">
        <v>600</v>
      </c>
      <c r="H24" s="94">
        <f>89</f>
        <v>89</v>
      </c>
      <c r="I24" s="95">
        <f t="shared" si="9"/>
        <v>53400</v>
      </c>
      <c r="J24" s="95"/>
      <c r="K24" s="95">
        <f>I24*0.2</f>
        <v>10680</v>
      </c>
      <c r="L24" s="95">
        <f t="shared" si="5"/>
        <v>42720</v>
      </c>
    </row>
    <row r="25" spans="1:13">
      <c r="A25" s="110">
        <v>29</v>
      </c>
      <c r="B25" s="92">
        <v>45465</v>
      </c>
      <c r="C25" s="93" t="s">
        <v>403</v>
      </c>
      <c r="D25" s="93" t="s">
        <v>8</v>
      </c>
      <c r="E25" s="93">
        <v>430</v>
      </c>
      <c r="F25" s="94">
        <v>6100</v>
      </c>
      <c r="G25" s="93">
        <v>350</v>
      </c>
      <c r="H25" s="94">
        <v>166.44</v>
      </c>
      <c r="I25" s="95">
        <f t="shared" si="9"/>
        <v>58254</v>
      </c>
      <c r="J25" s="95"/>
      <c r="K25" s="95">
        <f>I25*0.2</f>
        <v>11650.800000000001</v>
      </c>
      <c r="L25" s="95">
        <f>I25-K25-J25</f>
        <v>46603.199999999997</v>
      </c>
      <c r="M25" s="76">
        <f>SUM(L23:L25)</f>
        <v>109483.2</v>
      </c>
    </row>
    <row r="26" spans="1:13">
      <c r="A26">
        <v>30</v>
      </c>
      <c r="B26" s="96">
        <v>45486</v>
      </c>
      <c r="C26" s="97" t="s">
        <v>406</v>
      </c>
      <c r="D26" s="97" t="s">
        <v>8</v>
      </c>
      <c r="E26" s="97">
        <v>375</v>
      </c>
      <c r="F26" s="98">
        <v>8000</v>
      </c>
      <c r="G26" s="97">
        <v>360</v>
      </c>
      <c r="H26" s="98">
        <f>87+30+89</f>
        <v>206</v>
      </c>
      <c r="I26" s="99">
        <f t="shared" si="9"/>
        <v>74160</v>
      </c>
      <c r="J26" s="99"/>
      <c r="K26" s="99">
        <f>I26*0.2</f>
        <v>14832</v>
      </c>
      <c r="L26" s="99">
        <f t="shared" ref="L26:L66" si="10">I26-K26-J26</f>
        <v>59328</v>
      </c>
    </row>
    <row r="27" spans="1:13">
      <c r="A27">
        <v>31</v>
      </c>
      <c r="B27" s="279">
        <v>45497</v>
      </c>
      <c r="C27" s="280" t="s">
        <v>431</v>
      </c>
      <c r="D27" s="280" t="s">
        <v>8</v>
      </c>
      <c r="E27" s="280">
        <v>459</v>
      </c>
      <c r="F27" s="281"/>
      <c r="G27" s="280"/>
      <c r="H27" s="281"/>
      <c r="I27" s="282"/>
      <c r="J27" s="282"/>
      <c r="K27" s="282"/>
      <c r="L27" s="99">
        <f t="shared" si="10"/>
        <v>0</v>
      </c>
    </row>
    <row r="28" spans="1:13">
      <c r="A28">
        <v>32</v>
      </c>
      <c r="B28" s="96">
        <v>45499</v>
      </c>
      <c r="C28" s="97" t="s">
        <v>27</v>
      </c>
      <c r="D28" s="97" t="s">
        <v>8</v>
      </c>
      <c r="E28" s="97">
        <v>363</v>
      </c>
      <c r="F28" s="98">
        <v>0</v>
      </c>
      <c r="G28" s="97">
        <v>390</v>
      </c>
      <c r="H28" s="98">
        <f>127+10</f>
        <v>137</v>
      </c>
      <c r="I28" s="99">
        <f t="shared" ref="I28:I34" si="11">G28*H28</f>
        <v>53430</v>
      </c>
      <c r="J28" s="99">
        <f>I28*10%</f>
        <v>5343</v>
      </c>
      <c r="K28" s="99">
        <f>I28*0.2</f>
        <v>10686</v>
      </c>
      <c r="L28" s="99">
        <f t="shared" si="10"/>
        <v>37401</v>
      </c>
      <c r="M28" s="76">
        <f>SUM(L26:L28)</f>
        <v>96729</v>
      </c>
    </row>
    <row r="29" spans="1:13">
      <c r="A29">
        <v>34</v>
      </c>
      <c r="B29" s="92">
        <v>45507</v>
      </c>
      <c r="C29" s="93" t="s">
        <v>401</v>
      </c>
      <c r="D29" s="93" t="s">
        <v>8</v>
      </c>
      <c r="E29" s="93">
        <v>452</v>
      </c>
      <c r="F29" s="94">
        <v>250</v>
      </c>
      <c r="G29" s="93">
        <v>10</v>
      </c>
      <c r="H29" s="94">
        <v>35</v>
      </c>
      <c r="I29" s="95">
        <f t="shared" si="11"/>
        <v>350</v>
      </c>
      <c r="J29" s="95"/>
      <c r="K29" s="95">
        <f>I29*0.2</f>
        <v>70</v>
      </c>
      <c r="L29" s="95">
        <f t="shared" si="10"/>
        <v>280</v>
      </c>
    </row>
    <row r="30" spans="1:13">
      <c r="A30">
        <v>36</v>
      </c>
      <c r="B30" s="92">
        <v>45520</v>
      </c>
      <c r="C30" s="93" t="s">
        <v>405</v>
      </c>
      <c r="D30" s="93" t="s">
        <v>8</v>
      </c>
      <c r="E30" s="93">
        <v>400</v>
      </c>
      <c r="F30" s="94">
        <v>2750</v>
      </c>
      <c r="G30" s="93">
        <v>287</v>
      </c>
      <c r="H30" s="94">
        <v>125</v>
      </c>
      <c r="I30" s="95">
        <f t="shared" si="11"/>
        <v>35875</v>
      </c>
      <c r="J30" s="95"/>
      <c r="K30" s="95">
        <f>I30*0.2</f>
        <v>7175</v>
      </c>
      <c r="L30" s="95">
        <f t="shared" si="10"/>
        <v>28700</v>
      </c>
    </row>
    <row r="31" spans="1:13">
      <c r="A31">
        <v>37</v>
      </c>
      <c r="B31" s="92">
        <v>45521</v>
      </c>
      <c r="C31" s="93" t="s">
        <v>407</v>
      </c>
      <c r="D31" s="93" t="s">
        <v>8</v>
      </c>
      <c r="E31" s="93">
        <v>345</v>
      </c>
      <c r="F31" s="94">
        <v>0</v>
      </c>
      <c r="G31" s="93">
        <v>323</v>
      </c>
      <c r="H31" s="94">
        <f>89+9.9</f>
        <v>98.9</v>
      </c>
      <c r="I31" s="95">
        <f t="shared" si="11"/>
        <v>31944.7</v>
      </c>
      <c r="J31" s="95">
        <f>I31*10%</f>
        <v>3194.4700000000003</v>
      </c>
      <c r="K31" s="95">
        <f>I31*0.2</f>
        <v>6388.9400000000005</v>
      </c>
      <c r="L31" s="95">
        <f t="shared" si="10"/>
        <v>22361.29</v>
      </c>
    </row>
    <row r="32" spans="1:13">
      <c r="A32">
        <v>39</v>
      </c>
      <c r="B32" s="92">
        <v>45528</v>
      </c>
      <c r="C32" s="93" t="s">
        <v>414</v>
      </c>
      <c r="D32" s="93" t="s">
        <v>8</v>
      </c>
      <c r="E32" s="93">
        <v>305</v>
      </c>
      <c r="F32" s="94">
        <v>0</v>
      </c>
      <c r="G32" s="93">
        <v>630</v>
      </c>
      <c r="H32" s="94">
        <f>107+9.99</f>
        <v>116.99</v>
      </c>
      <c r="I32" s="95">
        <f t="shared" si="11"/>
        <v>73703.7</v>
      </c>
      <c r="J32" s="95">
        <f>I32*10%</f>
        <v>7370.37</v>
      </c>
      <c r="K32" s="95">
        <f t="shared" ref="K32:K39" si="12">I32*0.2</f>
        <v>14740.74</v>
      </c>
      <c r="L32" s="95">
        <f t="shared" si="10"/>
        <v>51592.59</v>
      </c>
    </row>
    <row r="33" spans="1:13">
      <c r="A33">
        <v>40</v>
      </c>
      <c r="B33" s="92">
        <v>45534</v>
      </c>
      <c r="C33" s="93" t="s">
        <v>402</v>
      </c>
      <c r="D33" s="93" t="s">
        <v>8</v>
      </c>
      <c r="E33" s="93">
        <v>439</v>
      </c>
      <c r="F33" s="94">
        <v>3550</v>
      </c>
      <c r="G33" s="93">
        <v>250</v>
      </c>
      <c r="H33" s="94">
        <f>130+12</f>
        <v>142</v>
      </c>
      <c r="I33" s="95">
        <f t="shared" si="11"/>
        <v>35500</v>
      </c>
      <c r="J33" s="95"/>
      <c r="K33" s="95">
        <f t="shared" si="12"/>
        <v>7100</v>
      </c>
      <c r="L33" s="95">
        <f t="shared" si="10"/>
        <v>28400</v>
      </c>
    </row>
    <row r="34" spans="1:13">
      <c r="A34">
        <v>41</v>
      </c>
      <c r="B34" s="92">
        <v>45535</v>
      </c>
      <c r="C34" s="93" t="s">
        <v>415</v>
      </c>
      <c r="D34" s="93" t="s">
        <v>8</v>
      </c>
      <c r="E34" s="93">
        <v>304</v>
      </c>
      <c r="F34" s="94">
        <v>0</v>
      </c>
      <c r="G34" s="93">
        <v>750</v>
      </c>
      <c r="H34" s="94">
        <f>107+9.99</f>
        <v>116.99</v>
      </c>
      <c r="I34" s="95">
        <f t="shared" si="11"/>
        <v>87742.5</v>
      </c>
      <c r="J34" s="95">
        <f>I34*10%</f>
        <v>8774.25</v>
      </c>
      <c r="K34" s="95">
        <f t="shared" si="12"/>
        <v>17548.5</v>
      </c>
      <c r="L34" s="95">
        <f t="shared" si="10"/>
        <v>61419.75</v>
      </c>
      <c r="M34" s="76">
        <f>SUM(L29:L34)</f>
        <v>192753.63</v>
      </c>
    </row>
    <row r="35" spans="1:13">
      <c r="A35">
        <v>42</v>
      </c>
      <c r="B35" s="285">
        <v>45542</v>
      </c>
      <c r="C35" s="286" t="s">
        <v>22</v>
      </c>
      <c r="D35" s="286" t="s">
        <v>8</v>
      </c>
      <c r="E35" s="286">
        <v>413</v>
      </c>
      <c r="F35" s="287">
        <v>8316</v>
      </c>
      <c r="G35" s="286">
        <f>184</f>
        <v>184</v>
      </c>
      <c r="H35" s="287">
        <v>174</v>
      </c>
      <c r="I35" s="288">
        <f>G35*H35+32*60</f>
        <v>33936</v>
      </c>
      <c r="J35" s="288"/>
      <c r="K35" s="288">
        <f t="shared" si="12"/>
        <v>6787.2000000000007</v>
      </c>
      <c r="L35" s="340">
        <f t="shared" si="10"/>
        <v>27148.799999999999</v>
      </c>
    </row>
    <row r="36" spans="1:13">
      <c r="A36">
        <v>43</v>
      </c>
      <c r="B36" s="96">
        <v>45544</v>
      </c>
      <c r="C36" s="97" t="s">
        <v>398</v>
      </c>
      <c r="D36" s="97" t="s">
        <v>399</v>
      </c>
      <c r="E36" s="97">
        <v>492</v>
      </c>
      <c r="F36" s="98">
        <v>0</v>
      </c>
      <c r="G36" s="97">
        <v>450</v>
      </c>
      <c r="H36" s="98">
        <v>70</v>
      </c>
      <c r="I36" s="99">
        <f>G36*H36</f>
        <v>31500</v>
      </c>
      <c r="J36" s="99"/>
      <c r="K36" s="99">
        <f t="shared" si="12"/>
        <v>6300</v>
      </c>
      <c r="L36" s="99">
        <f t="shared" si="10"/>
        <v>25200</v>
      </c>
    </row>
    <row r="37" spans="1:13">
      <c r="B37" s="96">
        <v>45550</v>
      </c>
      <c r="C37" s="97" t="s">
        <v>525</v>
      </c>
      <c r="D37" s="97" t="s">
        <v>526</v>
      </c>
      <c r="E37" s="97">
        <v>497</v>
      </c>
      <c r="F37" s="98">
        <v>0</v>
      </c>
      <c r="G37" s="97">
        <v>60</v>
      </c>
      <c r="H37" s="98">
        <v>89</v>
      </c>
      <c r="I37" s="99">
        <f>G37*H37</f>
        <v>5340</v>
      </c>
      <c r="J37" s="99"/>
      <c r="K37" s="99">
        <f t="shared" si="12"/>
        <v>1068</v>
      </c>
      <c r="L37" s="99">
        <f t="shared" si="10"/>
        <v>4272</v>
      </c>
    </row>
    <row r="38" spans="1:13">
      <c r="A38">
        <v>44</v>
      </c>
      <c r="B38" s="96">
        <v>45548</v>
      </c>
      <c r="C38" s="97" t="s">
        <v>404</v>
      </c>
      <c r="D38" s="97" t="s">
        <v>8</v>
      </c>
      <c r="E38" s="97">
        <v>424</v>
      </c>
      <c r="F38" s="98">
        <v>9700</v>
      </c>
      <c r="G38" s="97">
        <f>300+153</f>
        <v>453</v>
      </c>
      <c r="H38" s="98">
        <f>96</f>
        <v>96</v>
      </c>
      <c r="I38" s="99">
        <f>G38*H38</f>
        <v>43488</v>
      </c>
      <c r="J38" s="99">
        <f>I38*10%</f>
        <v>4348.8</v>
      </c>
      <c r="K38" s="99">
        <f t="shared" si="12"/>
        <v>8697.6</v>
      </c>
      <c r="L38" s="99">
        <f t="shared" si="10"/>
        <v>30441.600000000002</v>
      </c>
    </row>
    <row r="39" spans="1:13">
      <c r="A39">
        <v>45</v>
      </c>
      <c r="B39" s="96">
        <v>45549</v>
      </c>
      <c r="C39" s="97" t="s">
        <v>411</v>
      </c>
      <c r="D39" s="97" t="s">
        <v>8</v>
      </c>
      <c r="E39" s="97">
        <v>317</v>
      </c>
      <c r="F39" s="98">
        <v>0</v>
      </c>
      <c r="G39" s="97">
        <f>454+28</f>
        <v>482</v>
      </c>
      <c r="H39" s="98">
        <f>73+7</f>
        <v>80</v>
      </c>
      <c r="I39" s="99">
        <f>G39*H39</f>
        <v>38560</v>
      </c>
      <c r="J39" s="99">
        <f>I39*10%</f>
        <v>3856</v>
      </c>
      <c r="K39" s="99">
        <f t="shared" si="12"/>
        <v>7712</v>
      </c>
      <c r="L39" s="99">
        <f t="shared" si="10"/>
        <v>26992</v>
      </c>
    </row>
    <row r="40" spans="1:13">
      <c r="A40">
        <v>46</v>
      </c>
      <c r="B40" s="279">
        <v>45556</v>
      </c>
      <c r="C40" s="280" t="s">
        <v>432</v>
      </c>
      <c r="D40" s="280" t="s">
        <v>8</v>
      </c>
      <c r="E40" s="280">
        <v>449</v>
      </c>
      <c r="F40" s="281"/>
      <c r="G40" s="280"/>
      <c r="H40" s="281"/>
      <c r="I40" s="282"/>
      <c r="J40" s="282"/>
      <c r="K40" s="282"/>
      <c r="L40" s="99">
        <f t="shared" si="10"/>
        <v>0</v>
      </c>
    </row>
    <row r="41" spans="1:13">
      <c r="A41">
        <v>48</v>
      </c>
      <c r="B41" s="96">
        <v>45559</v>
      </c>
      <c r="C41" s="97" t="s">
        <v>139</v>
      </c>
      <c r="D41" s="97" t="s">
        <v>8</v>
      </c>
      <c r="E41" s="97">
        <v>465</v>
      </c>
      <c r="F41" s="98">
        <v>1180</v>
      </c>
      <c r="G41" s="97">
        <v>150</v>
      </c>
      <c r="H41" s="98">
        <v>80</v>
      </c>
      <c r="I41" s="99">
        <f t="shared" ref="I41:I58" si="13">G41*H41</f>
        <v>12000</v>
      </c>
      <c r="J41" s="99"/>
      <c r="K41" s="99">
        <f t="shared" ref="K41:K67" si="14">I41*0.2</f>
        <v>2400</v>
      </c>
      <c r="L41" s="99">
        <f>I41-K41-J41</f>
        <v>9600</v>
      </c>
    </row>
    <row r="42" spans="1:13">
      <c r="A42">
        <v>49</v>
      </c>
      <c r="B42" s="96">
        <v>45563</v>
      </c>
      <c r="C42" s="97" t="s">
        <v>397</v>
      </c>
      <c r="D42" s="97" t="s">
        <v>8</v>
      </c>
      <c r="E42" s="97">
        <v>502</v>
      </c>
      <c r="F42" s="98">
        <v>1250</v>
      </c>
      <c r="G42" s="97">
        <v>60</v>
      </c>
      <c r="H42" s="98">
        <v>112.5</v>
      </c>
      <c r="I42" s="99">
        <f t="shared" si="13"/>
        <v>6750</v>
      </c>
      <c r="J42" s="99"/>
      <c r="K42" s="99">
        <f t="shared" si="14"/>
        <v>1350</v>
      </c>
      <c r="L42" s="99">
        <f t="shared" si="10"/>
        <v>5400</v>
      </c>
      <c r="M42" s="76">
        <f>SUM(L35:L42)</f>
        <v>129054.40000000001</v>
      </c>
    </row>
    <row r="43" spans="1:13">
      <c r="A43">
        <v>50</v>
      </c>
      <c r="B43" s="92">
        <v>45566</v>
      </c>
      <c r="C43" s="93" t="s">
        <v>144</v>
      </c>
      <c r="D43" s="93" t="s">
        <v>8</v>
      </c>
      <c r="E43" s="93">
        <v>505</v>
      </c>
      <c r="F43" s="94">
        <v>4910</v>
      </c>
      <c r="G43" s="93">
        <v>250</v>
      </c>
      <c r="H43" s="94">
        <f>16.9+38.9+78</f>
        <v>133.80000000000001</v>
      </c>
      <c r="I43" s="95">
        <f t="shared" si="13"/>
        <v>33450</v>
      </c>
      <c r="J43" s="95"/>
      <c r="K43" s="95">
        <f t="shared" si="14"/>
        <v>6690</v>
      </c>
      <c r="L43" s="95">
        <f t="shared" si="10"/>
        <v>26760</v>
      </c>
    </row>
    <row r="44" spans="1:13">
      <c r="A44">
        <v>51</v>
      </c>
      <c r="B44" s="92">
        <v>45576</v>
      </c>
      <c r="C44" s="93" t="s">
        <v>410</v>
      </c>
      <c r="D44" s="93" t="s">
        <v>8</v>
      </c>
      <c r="E44" s="93">
        <v>344</v>
      </c>
      <c r="F44" s="94">
        <v>0</v>
      </c>
      <c r="G44" s="93">
        <v>560</v>
      </c>
      <c r="H44" s="94">
        <f>102</f>
        <v>102</v>
      </c>
      <c r="I44" s="95">
        <f t="shared" si="13"/>
        <v>57120</v>
      </c>
      <c r="J44" s="95">
        <f>I44*10%</f>
        <v>5712</v>
      </c>
      <c r="K44" s="95">
        <f t="shared" si="14"/>
        <v>11424</v>
      </c>
      <c r="L44" s="95">
        <f t="shared" si="10"/>
        <v>39984</v>
      </c>
    </row>
    <row r="45" spans="1:13">
      <c r="A45">
        <v>53</v>
      </c>
      <c r="B45" s="92">
        <v>45583</v>
      </c>
      <c r="C45" s="93" t="s">
        <v>400</v>
      </c>
      <c r="D45" s="93" t="s">
        <v>8</v>
      </c>
      <c r="E45" s="93">
        <v>482</v>
      </c>
      <c r="F45" s="94">
        <f>1800+7250</f>
        <v>9050</v>
      </c>
      <c r="G45" s="93">
        <v>450</v>
      </c>
      <c r="H45" s="94">
        <f>180+24</f>
        <v>204</v>
      </c>
      <c r="I45" s="95">
        <f t="shared" si="13"/>
        <v>91800</v>
      </c>
      <c r="J45" s="95">
        <f>I45*10%</f>
        <v>9180</v>
      </c>
      <c r="K45" s="95">
        <f t="shared" si="14"/>
        <v>18360</v>
      </c>
      <c r="L45" s="95">
        <f t="shared" si="10"/>
        <v>64260</v>
      </c>
    </row>
    <row r="46" spans="1:13">
      <c r="A46">
        <v>54</v>
      </c>
      <c r="B46" s="92">
        <v>45584</v>
      </c>
      <c r="C46" s="93" t="s">
        <v>413</v>
      </c>
      <c r="D46" s="93" t="s">
        <v>8</v>
      </c>
      <c r="E46" s="93">
        <v>314</v>
      </c>
      <c r="F46" s="94">
        <f>8660+750</f>
        <v>9410</v>
      </c>
      <c r="G46" s="93">
        <v>249</v>
      </c>
      <c r="H46" s="94">
        <v>209.17</v>
      </c>
      <c r="I46" s="95">
        <f t="shared" si="13"/>
        <v>52083.329999999994</v>
      </c>
      <c r="J46" s="95"/>
      <c r="K46" s="95">
        <f t="shared" si="14"/>
        <v>10416.665999999999</v>
      </c>
      <c r="L46" s="95">
        <f t="shared" si="10"/>
        <v>41666.663999999997</v>
      </c>
    </row>
    <row r="47" spans="1:13">
      <c r="A47">
        <v>55</v>
      </c>
      <c r="B47" s="92">
        <v>45586</v>
      </c>
      <c r="C47" s="93" t="s">
        <v>392</v>
      </c>
      <c r="D47" s="93" t="s">
        <v>8</v>
      </c>
      <c r="E47" s="93">
        <v>523</v>
      </c>
      <c r="F47" s="94">
        <v>2500</v>
      </c>
      <c r="G47" s="93">
        <v>485</v>
      </c>
      <c r="H47" s="94">
        <v>70</v>
      </c>
      <c r="I47" s="95">
        <f t="shared" si="13"/>
        <v>33950</v>
      </c>
      <c r="J47" s="95"/>
      <c r="K47" s="95">
        <f t="shared" si="14"/>
        <v>6790</v>
      </c>
      <c r="L47" s="95">
        <f t="shared" si="10"/>
        <v>27160</v>
      </c>
    </row>
    <row r="48" spans="1:13">
      <c r="A48">
        <v>56</v>
      </c>
      <c r="B48" s="92">
        <v>45587</v>
      </c>
      <c r="C48" s="93" t="s">
        <v>393</v>
      </c>
      <c r="D48" s="93" t="s">
        <v>8</v>
      </c>
      <c r="E48" s="93">
        <v>520</v>
      </c>
      <c r="F48" s="94">
        <v>2530</v>
      </c>
      <c r="G48" s="93">
        <v>300</v>
      </c>
      <c r="H48" s="94">
        <v>36</v>
      </c>
      <c r="I48" s="95">
        <f t="shared" si="13"/>
        <v>10800</v>
      </c>
      <c r="J48" s="95"/>
      <c r="K48" s="95">
        <f t="shared" si="14"/>
        <v>2160</v>
      </c>
      <c r="L48" s="95">
        <f t="shared" si="10"/>
        <v>8640</v>
      </c>
    </row>
    <row r="49" spans="1:13">
      <c r="A49">
        <v>57</v>
      </c>
      <c r="B49" s="92">
        <v>45590</v>
      </c>
      <c r="C49" s="93" t="s">
        <v>394</v>
      </c>
      <c r="D49" s="93" t="s">
        <v>8</v>
      </c>
      <c r="E49" s="93">
        <v>503</v>
      </c>
      <c r="F49" s="94">
        <v>4690</v>
      </c>
      <c r="G49" s="93">
        <v>406</v>
      </c>
      <c r="H49" s="94">
        <v>93</v>
      </c>
      <c r="I49" s="95">
        <f t="shared" si="13"/>
        <v>37758</v>
      </c>
      <c r="J49" s="95"/>
      <c r="K49" s="95">
        <f t="shared" si="14"/>
        <v>7551.6</v>
      </c>
      <c r="L49" s="95">
        <f t="shared" si="10"/>
        <v>30206.400000000001</v>
      </c>
      <c r="M49" s="76">
        <f>SUM(L43:L49)</f>
        <v>238677.06399999998</v>
      </c>
    </row>
    <row r="50" spans="1:13">
      <c r="A50">
        <v>59</v>
      </c>
      <c r="B50" s="100">
        <v>45603</v>
      </c>
      <c r="C50" s="101" t="s">
        <v>428</v>
      </c>
      <c r="D50" s="101" t="s">
        <v>8</v>
      </c>
      <c r="E50" s="101">
        <v>533</v>
      </c>
      <c r="F50" s="102">
        <v>3040</v>
      </c>
      <c r="G50" s="101">
        <v>700</v>
      </c>
      <c r="H50" s="102">
        <v>89</v>
      </c>
      <c r="I50" s="103">
        <f t="shared" si="13"/>
        <v>62300</v>
      </c>
      <c r="J50" s="103">
        <f>I50*10%</f>
        <v>6230</v>
      </c>
      <c r="K50" s="103">
        <f t="shared" si="14"/>
        <v>12460</v>
      </c>
      <c r="L50" s="103">
        <f t="shared" si="10"/>
        <v>43610</v>
      </c>
    </row>
    <row r="51" spans="1:13">
      <c r="A51">
        <v>60</v>
      </c>
      <c r="B51" s="100">
        <v>45604</v>
      </c>
      <c r="C51" s="101" t="s">
        <v>158</v>
      </c>
      <c r="D51" s="101" t="s">
        <v>8</v>
      </c>
      <c r="E51" s="101">
        <v>534</v>
      </c>
      <c r="F51" s="102">
        <v>1180</v>
      </c>
      <c r="G51" s="101">
        <v>390</v>
      </c>
      <c r="H51" s="102">
        <v>71.900000000000006</v>
      </c>
      <c r="I51" s="103">
        <f t="shared" si="13"/>
        <v>28041.000000000004</v>
      </c>
      <c r="J51" s="103"/>
      <c r="K51" s="103">
        <f t="shared" si="14"/>
        <v>5608.2000000000007</v>
      </c>
      <c r="L51" s="103">
        <f t="shared" si="10"/>
        <v>22432.800000000003</v>
      </c>
    </row>
    <row r="52" spans="1:13">
      <c r="A52">
        <v>61</v>
      </c>
      <c r="B52" s="100">
        <v>45605</v>
      </c>
      <c r="C52" s="101" t="s">
        <v>378</v>
      </c>
      <c r="D52" s="101" t="s">
        <v>8</v>
      </c>
      <c r="E52" s="101">
        <v>535</v>
      </c>
      <c r="F52" s="102">
        <v>8850</v>
      </c>
      <c r="G52" s="101">
        <v>720</v>
      </c>
      <c r="H52" s="102">
        <f>99</f>
        <v>99</v>
      </c>
      <c r="I52" s="103">
        <f t="shared" si="13"/>
        <v>71280</v>
      </c>
      <c r="J52" s="103"/>
      <c r="K52" s="103">
        <f t="shared" si="14"/>
        <v>14256</v>
      </c>
      <c r="L52" s="103">
        <f t="shared" si="10"/>
        <v>57024</v>
      </c>
    </row>
    <row r="53" spans="1:13">
      <c r="A53">
        <v>62</v>
      </c>
      <c r="B53" s="100">
        <v>45612</v>
      </c>
      <c r="C53" s="101" t="s">
        <v>424</v>
      </c>
      <c r="D53" s="101" t="s">
        <v>399</v>
      </c>
      <c r="E53" s="101">
        <v>542</v>
      </c>
      <c r="F53" s="102">
        <v>3735.63</v>
      </c>
      <c r="G53" s="101">
        <v>508</v>
      </c>
      <c r="H53" s="102">
        <v>29.9</v>
      </c>
      <c r="I53" s="103">
        <f t="shared" si="13"/>
        <v>15189.199999999999</v>
      </c>
      <c r="J53" s="103">
        <f>I53*10%</f>
        <v>1518.92</v>
      </c>
      <c r="K53" s="103">
        <f t="shared" si="14"/>
        <v>3037.84</v>
      </c>
      <c r="L53" s="103">
        <f t="shared" si="10"/>
        <v>10632.439999999999</v>
      </c>
    </row>
    <row r="54" spans="1:13">
      <c r="A54">
        <v>63</v>
      </c>
      <c r="B54" s="100">
        <v>45614</v>
      </c>
      <c r="C54" s="101" t="s">
        <v>423</v>
      </c>
      <c r="D54" s="101" t="s">
        <v>399</v>
      </c>
      <c r="E54" s="101">
        <v>541</v>
      </c>
      <c r="F54" s="102">
        <v>0</v>
      </c>
      <c r="G54" s="101">
        <v>607</v>
      </c>
      <c r="H54" s="102">
        <v>70</v>
      </c>
      <c r="I54" s="103">
        <f t="shared" si="13"/>
        <v>42490</v>
      </c>
      <c r="J54" s="103"/>
      <c r="K54" s="103">
        <f t="shared" si="14"/>
        <v>8498</v>
      </c>
      <c r="L54" s="103">
        <f t="shared" si="10"/>
        <v>33992</v>
      </c>
    </row>
    <row r="55" spans="1:13">
      <c r="A55">
        <v>64</v>
      </c>
      <c r="B55" s="100">
        <v>45620</v>
      </c>
      <c r="C55" s="101" t="s">
        <v>326</v>
      </c>
      <c r="D55" s="101" t="s">
        <v>8</v>
      </c>
      <c r="E55" s="101">
        <v>528</v>
      </c>
      <c r="F55" s="102">
        <v>4350</v>
      </c>
      <c r="G55" s="101">
        <v>1000</v>
      </c>
      <c r="H55" s="102"/>
      <c r="I55" s="103">
        <f t="shared" si="13"/>
        <v>0</v>
      </c>
      <c r="J55" s="103"/>
      <c r="K55" s="103">
        <f t="shared" si="14"/>
        <v>0</v>
      </c>
      <c r="L55" s="103">
        <f t="shared" si="10"/>
        <v>0</v>
      </c>
    </row>
    <row r="56" spans="1:13">
      <c r="A56">
        <v>66</v>
      </c>
      <c r="B56" s="100">
        <v>45625</v>
      </c>
      <c r="C56" s="101" t="s">
        <v>365</v>
      </c>
      <c r="D56" s="101" t="s">
        <v>8</v>
      </c>
      <c r="E56" s="101">
        <v>414</v>
      </c>
      <c r="F56" s="102">
        <v>2800</v>
      </c>
      <c r="G56" s="101">
        <v>300</v>
      </c>
      <c r="H56" s="102">
        <f>99</f>
        <v>99</v>
      </c>
      <c r="I56" s="103">
        <f t="shared" si="13"/>
        <v>29700</v>
      </c>
      <c r="J56" s="103"/>
      <c r="K56" s="103">
        <f t="shared" si="14"/>
        <v>5940</v>
      </c>
      <c r="L56" s="103">
        <f t="shared" si="10"/>
        <v>23760</v>
      </c>
    </row>
    <row r="57" spans="1:13">
      <c r="A57">
        <v>67</v>
      </c>
      <c r="B57" s="100">
        <v>45626</v>
      </c>
      <c r="C57" s="101" t="s">
        <v>368</v>
      </c>
      <c r="D57" s="101" t="s">
        <v>8</v>
      </c>
      <c r="E57" s="101">
        <v>553</v>
      </c>
      <c r="F57" s="102"/>
      <c r="G57" s="101">
        <v>1443</v>
      </c>
      <c r="H57" s="102">
        <v>150</v>
      </c>
      <c r="I57" s="103">
        <f t="shared" si="13"/>
        <v>216450</v>
      </c>
      <c r="J57" s="103"/>
      <c r="K57" s="103">
        <f t="shared" si="14"/>
        <v>43290</v>
      </c>
      <c r="L57" s="103">
        <f t="shared" si="10"/>
        <v>173160</v>
      </c>
      <c r="M57" s="76">
        <f>SUM(L50:L57)</f>
        <v>364611.24</v>
      </c>
    </row>
    <row r="58" spans="1:13">
      <c r="A58">
        <v>69</v>
      </c>
      <c r="B58" s="104">
        <v>45635</v>
      </c>
      <c r="C58" s="105" t="s">
        <v>392</v>
      </c>
      <c r="D58" s="105" t="s">
        <v>8</v>
      </c>
      <c r="E58" s="105">
        <v>554</v>
      </c>
      <c r="F58" s="106">
        <v>0</v>
      </c>
      <c r="G58" s="105">
        <v>630</v>
      </c>
      <c r="H58" s="106">
        <v>70</v>
      </c>
      <c r="I58" s="107">
        <f t="shared" si="13"/>
        <v>44100</v>
      </c>
      <c r="J58" s="107"/>
      <c r="K58" s="107">
        <f t="shared" si="14"/>
        <v>8820</v>
      </c>
      <c r="L58" s="107">
        <f t="shared" si="10"/>
        <v>35280</v>
      </c>
    </row>
    <row r="59" spans="1:13">
      <c r="A59">
        <v>70</v>
      </c>
      <c r="B59" s="104">
        <v>45636</v>
      </c>
      <c r="C59" s="105" t="s">
        <v>583</v>
      </c>
      <c r="D59" s="105" t="s">
        <v>8</v>
      </c>
      <c r="E59" s="105">
        <v>514</v>
      </c>
      <c r="F59" s="106"/>
      <c r="G59" s="105">
        <f>250+25</f>
        <v>275</v>
      </c>
      <c r="H59" s="106">
        <v>110</v>
      </c>
      <c r="I59" s="107">
        <f>G59*H59+(72*H59/2)</f>
        <v>34210</v>
      </c>
      <c r="J59" s="107">
        <f>I59*10%</f>
        <v>3421</v>
      </c>
      <c r="K59" s="107">
        <f t="shared" si="14"/>
        <v>6842</v>
      </c>
      <c r="L59" s="107">
        <f t="shared" si="10"/>
        <v>23947</v>
      </c>
    </row>
    <row r="60" spans="1:13">
      <c r="A60">
        <v>71</v>
      </c>
      <c r="B60" s="104">
        <v>45643</v>
      </c>
      <c r="C60" s="105" t="s">
        <v>582</v>
      </c>
      <c r="D60" s="105" t="s">
        <v>8</v>
      </c>
      <c r="E60" s="105">
        <v>480</v>
      </c>
      <c r="F60" s="106"/>
      <c r="G60" s="105">
        <v>500</v>
      </c>
      <c r="H60" s="106">
        <v>99</v>
      </c>
      <c r="I60" s="107">
        <f t="shared" ref="I60:I91" si="15">G60*H60</f>
        <v>49500</v>
      </c>
      <c r="J60" s="107">
        <f>I60*10%</f>
        <v>4950</v>
      </c>
      <c r="K60" s="107">
        <f t="shared" si="14"/>
        <v>9900</v>
      </c>
      <c r="L60" s="107">
        <f t="shared" si="10"/>
        <v>34650</v>
      </c>
    </row>
    <row r="61" spans="1:13">
      <c r="A61">
        <v>72</v>
      </c>
      <c r="B61" s="104">
        <v>45637</v>
      </c>
      <c r="C61" s="105" t="s">
        <v>359</v>
      </c>
      <c r="D61" s="105" t="s">
        <v>8</v>
      </c>
      <c r="E61" s="105">
        <v>415</v>
      </c>
      <c r="F61" s="106">
        <v>3260</v>
      </c>
      <c r="G61" s="105">
        <v>300</v>
      </c>
      <c r="H61" s="106">
        <v>99</v>
      </c>
      <c r="I61" s="107">
        <f t="shared" si="15"/>
        <v>29700</v>
      </c>
      <c r="J61" s="107"/>
      <c r="K61" s="107">
        <f t="shared" si="14"/>
        <v>5940</v>
      </c>
      <c r="L61" s="107">
        <f t="shared" si="10"/>
        <v>23760</v>
      </c>
    </row>
    <row r="62" spans="1:13">
      <c r="A62">
        <v>73</v>
      </c>
      <c r="B62" s="104">
        <v>45638</v>
      </c>
      <c r="C62" s="105" t="s">
        <v>342</v>
      </c>
      <c r="D62" s="105" t="s">
        <v>8</v>
      </c>
      <c r="E62" s="105">
        <v>545</v>
      </c>
      <c r="F62" s="106">
        <f>6500</f>
        <v>6500</v>
      </c>
      <c r="G62" s="105">
        <v>480</v>
      </c>
      <c r="H62" s="106">
        <f>105</f>
        <v>105</v>
      </c>
      <c r="I62" s="107">
        <f t="shared" si="15"/>
        <v>50400</v>
      </c>
      <c r="J62" s="107"/>
      <c r="K62" s="107">
        <f t="shared" si="14"/>
        <v>10080</v>
      </c>
      <c r="L62" s="107">
        <f t="shared" si="10"/>
        <v>40320</v>
      </c>
    </row>
    <row r="63" spans="1:13">
      <c r="A63">
        <v>74</v>
      </c>
      <c r="B63" s="104">
        <v>45640</v>
      </c>
      <c r="C63" s="105" t="s">
        <v>354</v>
      </c>
      <c r="D63" s="105" t="s">
        <v>8</v>
      </c>
      <c r="E63" s="105">
        <v>471</v>
      </c>
      <c r="F63" s="106"/>
      <c r="G63" s="105">
        <v>1000</v>
      </c>
      <c r="H63" s="106">
        <f>45+90</f>
        <v>135</v>
      </c>
      <c r="I63" s="107">
        <f t="shared" si="15"/>
        <v>135000</v>
      </c>
      <c r="J63" s="107"/>
      <c r="K63" s="107">
        <f t="shared" si="14"/>
        <v>27000</v>
      </c>
      <c r="L63" s="107">
        <f t="shared" si="10"/>
        <v>108000</v>
      </c>
    </row>
    <row r="64" spans="1:13">
      <c r="A64">
        <v>75</v>
      </c>
      <c r="B64" s="104">
        <v>45641</v>
      </c>
      <c r="C64" s="105" t="s">
        <v>434</v>
      </c>
      <c r="D64" s="105" t="s">
        <v>8</v>
      </c>
      <c r="E64" s="105">
        <v>422</v>
      </c>
      <c r="F64" s="106">
        <v>0</v>
      </c>
      <c r="G64" s="105">
        <v>402</v>
      </c>
      <c r="H64" s="106">
        <v>99</v>
      </c>
      <c r="I64" s="107">
        <f t="shared" si="15"/>
        <v>39798</v>
      </c>
      <c r="J64" s="107">
        <f>I64*10%</f>
        <v>3979.8</v>
      </c>
      <c r="K64" s="107">
        <f t="shared" si="14"/>
        <v>7959.6</v>
      </c>
      <c r="L64" s="107">
        <f>I64-K64-J64</f>
        <v>27858.600000000002</v>
      </c>
    </row>
    <row r="65" spans="1:13">
      <c r="A65">
        <v>76</v>
      </c>
      <c r="B65" s="104">
        <v>45647</v>
      </c>
      <c r="C65" s="105" t="s">
        <v>435</v>
      </c>
      <c r="D65" s="105" t="s">
        <v>8</v>
      </c>
      <c r="E65" s="105">
        <v>515</v>
      </c>
      <c r="F65" s="106">
        <v>4750</v>
      </c>
      <c r="G65" s="105">
        <v>500</v>
      </c>
      <c r="H65" s="106">
        <v>99</v>
      </c>
      <c r="I65" s="107">
        <f t="shared" si="15"/>
        <v>49500</v>
      </c>
      <c r="J65" s="107"/>
      <c r="K65" s="107">
        <f t="shared" si="14"/>
        <v>9900</v>
      </c>
      <c r="L65" s="107">
        <f>I65-K65-J65</f>
        <v>39600</v>
      </c>
    </row>
    <row r="66" spans="1:13">
      <c r="A66">
        <v>77</v>
      </c>
      <c r="B66" s="104">
        <v>45654</v>
      </c>
      <c r="C66" s="105" t="s">
        <v>433</v>
      </c>
      <c r="D66" s="105" t="s">
        <v>8</v>
      </c>
      <c r="E66" s="105">
        <v>418</v>
      </c>
      <c r="F66" s="106">
        <v>0</v>
      </c>
      <c r="G66" s="105">
        <v>663</v>
      </c>
      <c r="H66" s="106">
        <v>99</v>
      </c>
      <c r="I66" s="107">
        <f>G66*H66</f>
        <v>65637</v>
      </c>
      <c r="J66" s="107">
        <f t="shared" ref="J66:J109" si="16">I66*10%</f>
        <v>6563.7000000000007</v>
      </c>
      <c r="K66" s="107">
        <f t="shared" si="14"/>
        <v>13127.400000000001</v>
      </c>
      <c r="L66" s="107">
        <f t="shared" si="10"/>
        <v>45945.899999999994</v>
      </c>
      <c r="M66" s="76">
        <f>SUM(L58:L66)</f>
        <v>379361.5</v>
      </c>
    </row>
    <row r="67" spans="1:13">
      <c r="A67">
        <v>78</v>
      </c>
      <c r="B67" s="82"/>
      <c r="C67" s="82"/>
      <c r="D67" s="82"/>
      <c r="E67" s="82"/>
      <c r="F67" s="83"/>
      <c r="G67" s="82"/>
      <c r="H67" s="83"/>
      <c r="I67" s="84">
        <f t="shared" si="15"/>
        <v>0</v>
      </c>
      <c r="J67" s="81">
        <f t="shared" si="16"/>
        <v>0</v>
      </c>
      <c r="K67" s="84">
        <f t="shared" si="14"/>
        <v>0</v>
      </c>
      <c r="L67" s="84">
        <f t="shared" ref="L67" si="17">I67-K67</f>
        <v>0</v>
      </c>
    </row>
    <row r="68" spans="1:13">
      <c r="A68">
        <v>79</v>
      </c>
      <c r="B68" s="82"/>
      <c r="C68" s="82"/>
      <c r="D68" s="82"/>
      <c r="E68" s="82"/>
      <c r="F68" s="83"/>
      <c r="G68" s="82"/>
      <c r="H68" s="83"/>
      <c r="I68" s="84">
        <f t="shared" si="15"/>
        <v>0</v>
      </c>
      <c r="J68" s="81">
        <f t="shared" si="16"/>
        <v>0</v>
      </c>
      <c r="K68" s="84">
        <f t="shared" ref="K68:K99" si="18">I68*0.2</f>
        <v>0</v>
      </c>
      <c r="L68" s="84">
        <f t="shared" ref="L68:L99" si="19">I68-K68</f>
        <v>0</v>
      </c>
    </row>
    <row r="69" spans="1:13">
      <c r="A69">
        <v>80</v>
      </c>
      <c r="B69" s="82"/>
      <c r="C69" s="82"/>
      <c r="D69" s="82"/>
      <c r="E69" s="82"/>
      <c r="F69" s="83"/>
      <c r="G69" s="82"/>
      <c r="H69" s="83"/>
      <c r="I69" s="84">
        <f t="shared" si="15"/>
        <v>0</v>
      </c>
      <c r="J69" s="81">
        <f t="shared" si="16"/>
        <v>0</v>
      </c>
      <c r="K69" s="84">
        <f t="shared" si="18"/>
        <v>0</v>
      </c>
      <c r="L69" s="84">
        <f t="shared" si="19"/>
        <v>0</v>
      </c>
      <c r="M69" s="76">
        <f>SUM(M5:M66)</f>
        <v>2115343.87</v>
      </c>
    </row>
    <row r="70" spans="1:13">
      <c r="B70" s="82"/>
      <c r="C70" s="82"/>
      <c r="D70" s="82"/>
      <c r="E70" s="82"/>
      <c r="F70" s="83"/>
      <c r="G70" s="82"/>
      <c r="H70" s="83"/>
      <c r="I70" s="84">
        <f t="shared" si="15"/>
        <v>0</v>
      </c>
      <c r="J70" s="81">
        <f t="shared" si="16"/>
        <v>0</v>
      </c>
      <c r="K70" s="84">
        <f t="shared" si="18"/>
        <v>0</v>
      </c>
      <c r="L70" s="84">
        <f t="shared" si="19"/>
        <v>0</v>
      </c>
    </row>
    <row r="71" spans="1:13">
      <c r="B71" s="82"/>
      <c r="C71" s="82"/>
      <c r="D71" s="82"/>
      <c r="E71" s="82"/>
      <c r="F71" s="83"/>
      <c r="G71" s="82"/>
      <c r="H71" s="83"/>
      <c r="I71" s="84">
        <f t="shared" si="15"/>
        <v>0</v>
      </c>
      <c r="J71" s="81">
        <f t="shared" si="16"/>
        <v>0</v>
      </c>
      <c r="K71" s="84">
        <f t="shared" si="18"/>
        <v>0</v>
      </c>
      <c r="L71" s="84">
        <f t="shared" si="19"/>
        <v>0</v>
      </c>
    </row>
    <row r="72" spans="1:13">
      <c r="B72" s="82"/>
      <c r="C72" s="82"/>
      <c r="D72" s="82"/>
      <c r="E72" s="82"/>
      <c r="F72" s="83"/>
      <c r="G72" s="82"/>
      <c r="H72" s="83"/>
      <c r="I72" s="84">
        <f t="shared" si="15"/>
        <v>0</v>
      </c>
      <c r="J72" s="81">
        <f t="shared" si="16"/>
        <v>0</v>
      </c>
      <c r="K72" s="84">
        <f t="shared" si="18"/>
        <v>0</v>
      </c>
      <c r="L72" s="84">
        <f t="shared" si="19"/>
        <v>0</v>
      </c>
    </row>
    <row r="73" spans="1:13">
      <c r="B73" s="82"/>
      <c r="C73" s="82"/>
      <c r="D73" s="82"/>
      <c r="E73" s="82"/>
      <c r="F73" s="83"/>
      <c r="G73" s="82"/>
      <c r="H73" s="83"/>
      <c r="I73" s="84">
        <f t="shared" si="15"/>
        <v>0</v>
      </c>
      <c r="J73" s="81">
        <f t="shared" si="16"/>
        <v>0</v>
      </c>
      <c r="K73" s="84">
        <f t="shared" si="18"/>
        <v>0</v>
      </c>
      <c r="L73" s="84">
        <f t="shared" si="19"/>
        <v>0</v>
      </c>
    </row>
    <row r="74" spans="1:13">
      <c r="B74" s="82"/>
      <c r="C74" s="82"/>
      <c r="D74" s="82"/>
      <c r="E74" s="82"/>
      <c r="F74" s="83"/>
      <c r="G74" s="82"/>
      <c r="H74" s="83"/>
      <c r="I74" s="84">
        <f t="shared" si="15"/>
        <v>0</v>
      </c>
      <c r="J74" s="81">
        <f t="shared" si="16"/>
        <v>0</v>
      </c>
      <c r="K74" s="84">
        <f t="shared" si="18"/>
        <v>0</v>
      </c>
      <c r="L74" s="84">
        <f t="shared" si="19"/>
        <v>0</v>
      </c>
    </row>
    <row r="75" spans="1:13">
      <c r="B75" s="82"/>
      <c r="C75" s="82"/>
      <c r="D75" s="82"/>
      <c r="E75" s="82"/>
      <c r="F75" s="83"/>
      <c r="G75" s="82"/>
      <c r="H75" s="83"/>
      <c r="I75" s="84">
        <f t="shared" si="15"/>
        <v>0</v>
      </c>
      <c r="J75" s="81">
        <f t="shared" si="16"/>
        <v>0</v>
      </c>
      <c r="K75" s="84">
        <f t="shared" si="18"/>
        <v>0</v>
      </c>
      <c r="L75" s="84">
        <f t="shared" si="19"/>
        <v>0</v>
      </c>
    </row>
    <row r="76" spans="1:13">
      <c r="A76" s="85"/>
      <c r="B76" s="82"/>
      <c r="C76" s="82"/>
      <c r="D76" s="82"/>
      <c r="E76" s="82"/>
      <c r="F76" s="82"/>
      <c r="G76" s="82"/>
      <c r="H76" s="83"/>
      <c r="I76" s="84">
        <f t="shared" si="15"/>
        <v>0</v>
      </c>
      <c r="J76" s="81">
        <f t="shared" si="16"/>
        <v>0</v>
      </c>
      <c r="K76" s="84">
        <f t="shared" si="18"/>
        <v>0</v>
      </c>
      <c r="L76" s="84">
        <f t="shared" si="19"/>
        <v>0</v>
      </c>
    </row>
    <row r="77" spans="1:13">
      <c r="B77" s="82"/>
      <c r="C77" s="82"/>
      <c r="D77" s="82"/>
      <c r="E77" s="82"/>
      <c r="F77" s="82"/>
      <c r="G77" s="82"/>
      <c r="H77" s="83"/>
      <c r="I77" s="84">
        <f t="shared" si="15"/>
        <v>0</v>
      </c>
      <c r="J77" s="81">
        <f t="shared" si="16"/>
        <v>0</v>
      </c>
      <c r="K77" s="84">
        <f t="shared" si="18"/>
        <v>0</v>
      </c>
      <c r="L77" s="84">
        <f t="shared" si="19"/>
        <v>0</v>
      </c>
    </row>
    <row r="78" spans="1:13">
      <c r="B78" s="82"/>
      <c r="C78" s="82"/>
      <c r="D78" s="82"/>
      <c r="E78" s="82"/>
      <c r="F78" s="82"/>
      <c r="G78" s="82"/>
      <c r="H78" s="83"/>
      <c r="I78" s="84">
        <f t="shared" si="15"/>
        <v>0</v>
      </c>
      <c r="J78" s="81">
        <f t="shared" si="16"/>
        <v>0</v>
      </c>
      <c r="K78" s="84">
        <f t="shared" si="18"/>
        <v>0</v>
      </c>
      <c r="L78" s="84">
        <f t="shared" si="19"/>
        <v>0</v>
      </c>
    </row>
    <row r="79" spans="1:13">
      <c r="B79" s="82"/>
      <c r="C79" s="82"/>
      <c r="D79" s="82"/>
      <c r="E79" s="82"/>
      <c r="F79" s="82"/>
      <c r="G79" s="82"/>
      <c r="H79" s="83"/>
      <c r="I79" s="84">
        <f t="shared" si="15"/>
        <v>0</v>
      </c>
      <c r="J79" s="81">
        <f t="shared" si="16"/>
        <v>0</v>
      </c>
      <c r="K79" s="84">
        <f t="shared" si="18"/>
        <v>0</v>
      </c>
      <c r="L79" s="84">
        <f t="shared" si="19"/>
        <v>0</v>
      </c>
    </row>
    <row r="80" spans="1:13">
      <c r="B80" s="82"/>
      <c r="C80" s="82"/>
      <c r="D80" s="82"/>
      <c r="E80" s="82"/>
      <c r="F80" s="82"/>
      <c r="G80" s="82"/>
      <c r="H80" s="83"/>
      <c r="I80" s="84">
        <f t="shared" si="15"/>
        <v>0</v>
      </c>
      <c r="J80" s="81">
        <f t="shared" si="16"/>
        <v>0</v>
      </c>
      <c r="K80" s="84">
        <f t="shared" si="18"/>
        <v>0</v>
      </c>
      <c r="L80" s="84">
        <f t="shared" si="19"/>
        <v>0</v>
      </c>
    </row>
    <row r="81" spans="2:12">
      <c r="B81" s="82"/>
      <c r="C81" s="82"/>
      <c r="D81" s="82"/>
      <c r="E81" s="82"/>
      <c r="F81" s="82"/>
      <c r="G81" s="82"/>
      <c r="H81" s="83"/>
      <c r="I81" s="84">
        <f t="shared" si="15"/>
        <v>0</v>
      </c>
      <c r="J81" s="81">
        <f t="shared" si="16"/>
        <v>0</v>
      </c>
      <c r="K81" s="84">
        <f t="shared" si="18"/>
        <v>0</v>
      </c>
      <c r="L81" s="84">
        <f t="shared" si="19"/>
        <v>0</v>
      </c>
    </row>
    <row r="82" spans="2:12">
      <c r="B82" s="82"/>
      <c r="C82" s="82"/>
      <c r="D82" s="82"/>
      <c r="E82" s="82"/>
      <c r="F82" s="82"/>
      <c r="G82" s="82"/>
      <c r="H82" s="83"/>
      <c r="I82" s="84">
        <f t="shared" si="15"/>
        <v>0</v>
      </c>
      <c r="J82" s="81">
        <f t="shared" si="16"/>
        <v>0</v>
      </c>
      <c r="K82" s="84">
        <f t="shared" si="18"/>
        <v>0</v>
      </c>
      <c r="L82" s="84">
        <f t="shared" si="19"/>
        <v>0</v>
      </c>
    </row>
    <row r="83" spans="2:12">
      <c r="B83" s="82"/>
      <c r="C83" s="82"/>
      <c r="D83" s="82"/>
      <c r="E83" s="82"/>
      <c r="F83" s="82"/>
      <c r="G83" s="82"/>
      <c r="H83" s="83"/>
      <c r="I83" s="84">
        <f t="shared" si="15"/>
        <v>0</v>
      </c>
      <c r="J83" s="81">
        <f t="shared" si="16"/>
        <v>0</v>
      </c>
      <c r="K83" s="84">
        <f t="shared" si="18"/>
        <v>0</v>
      </c>
      <c r="L83" s="84">
        <f t="shared" si="19"/>
        <v>0</v>
      </c>
    </row>
    <row r="84" spans="2:12">
      <c r="B84" s="82"/>
      <c r="C84" s="82"/>
      <c r="D84" s="82"/>
      <c r="E84" s="82"/>
      <c r="F84" s="82"/>
      <c r="G84" s="82"/>
      <c r="H84" s="83"/>
      <c r="I84" s="84">
        <f t="shared" si="15"/>
        <v>0</v>
      </c>
      <c r="J84" s="81">
        <f t="shared" si="16"/>
        <v>0</v>
      </c>
      <c r="K84" s="84">
        <f t="shared" si="18"/>
        <v>0</v>
      </c>
      <c r="L84" s="84">
        <f t="shared" si="19"/>
        <v>0</v>
      </c>
    </row>
    <row r="85" spans="2:12">
      <c r="B85" s="82"/>
      <c r="C85" s="82"/>
      <c r="D85" s="82"/>
      <c r="E85" s="82"/>
      <c r="F85" s="82"/>
      <c r="G85" s="82"/>
      <c r="H85" s="83"/>
      <c r="I85" s="84">
        <f t="shared" si="15"/>
        <v>0</v>
      </c>
      <c r="J85" s="81">
        <f t="shared" si="16"/>
        <v>0</v>
      </c>
      <c r="K85" s="84">
        <f t="shared" si="18"/>
        <v>0</v>
      </c>
      <c r="L85" s="84">
        <f t="shared" si="19"/>
        <v>0</v>
      </c>
    </row>
    <row r="86" spans="2:12">
      <c r="B86" s="82"/>
      <c r="C86" s="82"/>
      <c r="D86" s="82"/>
      <c r="E86" s="82"/>
      <c r="F86" s="82"/>
      <c r="G86" s="82"/>
      <c r="H86" s="83"/>
      <c r="I86" s="84">
        <f t="shared" si="15"/>
        <v>0</v>
      </c>
      <c r="J86" s="81">
        <f t="shared" si="16"/>
        <v>0</v>
      </c>
      <c r="K86" s="84">
        <f t="shared" si="18"/>
        <v>0</v>
      </c>
      <c r="L86" s="84">
        <f t="shared" si="19"/>
        <v>0</v>
      </c>
    </row>
    <row r="87" spans="2:12">
      <c r="B87" s="82"/>
      <c r="C87" s="82"/>
      <c r="D87" s="82"/>
      <c r="E87" s="82"/>
      <c r="F87" s="82"/>
      <c r="G87" s="82"/>
      <c r="H87" s="83"/>
      <c r="I87" s="84">
        <f t="shared" si="15"/>
        <v>0</v>
      </c>
      <c r="J87" s="81">
        <f t="shared" si="16"/>
        <v>0</v>
      </c>
      <c r="K87" s="84">
        <f t="shared" si="18"/>
        <v>0</v>
      </c>
      <c r="L87" s="84">
        <f t="shared" si="19"/>
        <v>0</v>
      </c>
    </row>
    <row r="88" spans="2:12">
      <c r="B88" s="82"/>
      <c r="C88" s="82"/>
      <c r="D88" s="82"/>
      <c r="E88" s="82"/>
      <c r="F88" s="82"/>
      <c r="G88" s="82"/>
      <c r="H88" s="83"/>
      <c r="I88" s="84">
        <f t="shared" si="15"/>
        <v>0</v>
      </c>
      <c r="J88" s="81">
        <f t="shared" si="16"/>
        <v>0</v>
      </c>
      <c r="K88" s="84">
        <f t="shared" si="18"/>
        <v>0</v>
      </c>
      <c r="L88" s="84">
        <f t="shared" si="19"/>
        <v>0</v>
      </c>
    </row>
    <row r="89" spans="2:12">
      <c r="B89" s="82"/>
      <c r="C89" s="82"/>
      <c r="D89" s="82"/>
      <c r="E89" s="82"/>
      <c r="F89" s="82"/>
      <c r="G89" s="82"/>
      <c r="H89" s="83"/>
      <c r="I89" s="84">
        <f t="shared" si="15"/>
        <v>0</v>
      </c>
      <c r="J89" s="81">
        <f t="shared" si="16"/>
        <v>0</v>
      </c>
      <c r="K89" s="84">
        <f t="shared" si="18"/>
        <v>0</v>
      </c>
      <c r="L89" s="84">
        <f t="shared" si="19"/>
        <v>0</v>
      </c>
    </row>
    <row r="90" spans="2:12">
      <c r="B90" s="82"/>
      <c r="C90" s="82"/>
      <c r="D90" s="82"/>
      <c r="E90" s="82"/>
      <c r="F90" s="82"/>
      <c r="G90" s="82"/>
      <c r="H90" s="83"/>
      <c r="I90" s="84">
        <f t="shared" si="15"/>
        <v>0</v>
      </c>
      <c r="J90" s="81">
        <f t="shared" si="16"/>
        <v>0</v>
      </c>
      <c r="K90" s="84">
        <f t="shared" si="18"/>
        <v>0</v>
      </c>
      <c r="L90" s="84">
        <f t="shared" si="19"/>
        <v>0</v>
      </c>
    </row>
    <row r="91" spans="2:12">
      <c r="B91" s="82"/>
      <c r="C91" s="82"/>
      <c r="D91" s="82"/>
      <c r="E91" s="82"/>
      <c r="F91" s="82"/>
      <c r="G91" s="82"/>
      <c r="H91" s="83"/>
      <c r="I91" s="84">
        <f t="shared" si="15"/>
        <v>0</v>
      </c>
      <c r="J91" s="81">
        <f t="shared" si="16"/>
        <v>0</v>
      </c>
      <c r="K91" s="84">
        <f t="shared" si="18"/>
        <v>0</v>
      </c>
      <c r="L91" s="84">
        <f t="shared" si="19"/>
        <v>0</v>
      </c>
    </row>
    <row r="92" spans="2:12">
      <c r="B92" s="82"/>
      <c r="C92" s="82"/>
      <c r="D92" s="82"/>
      <c r="E92" s="82"/>
      <c r="F92" s="82"/>
      <c r="G92" s="82"/>
      <c r="H92" s="83"/>
      <c r="I92" s="84">
        <f t="shared" ref="I92:I109" si="20">G92*H92</f>
        <v>0</v>
      </c>
      <c r="J92" s="81">
        <f t="shared" si="16"/>
        <v>0</v>
      </c>
      <c r="K92" s="84">
        <f t="shared" si="18"/>
        <v>0</v>
      </c>
      <c r="L92" s="84">
        <f t="shared" si="19"/>
        <v>0</v>
      </c>
    </row>
    <row r="93" spans="2:12">
      <c r="B93" s="82"/>
      <c r="C93" s="82"/>
      <c r="D93" s="82"/>
      <c r="E93" s="82"/>
      <c r="F93" s="82"/>
      <c r="G93" s="82"/>
      <c r="H93" s="83"/>
      <c r="I93" s="84">
        <f t="shared" si="20"/>
        <v>0</v>
      </c>
      <c r="J93" s="81">
        <f t="shared" si="16"/>
        <v>0</v>
      </c>
      <c r="K93" s="84">
        <f t="shared" si="18"/>
        <v>0</v>
      </c>
      <c r="L93" s="84">
        <f t="shared" si="19"/>
        <v>0</v>
      </c>
    </row>
    <row r="94" spans="2:12">
      <c r="B94" s="82"/>
      <c r="C94" s="82"/>
      <c r="D94" s="82"/>
      <c r="E94" s="82"/>
      <c r="F94" s="82"/>
      <c r="G94" s="82"/>
      <c r="H94" s="83"/>
      <c r="I94" s="84">
        <f t="shared" si="20"/>
        <v>0</v>
      </c>
      <c r="J94" s="81">
        <f t="shared" si="16"/>
        <v>0</v>
      </c>
      <c r="K94" s="84">
        <f t="shared" si="18"/>
        <v>0</v>
      </c>
      <c r="L94" s="84">
        <f t="shared" si="19"/>
        <v>0</v>
      </c>
    </row>
    <row r="95" spans="2:12">
      <c r="B95" s="82"/>
      <c r="C95" s="82"/>
      <c r="D95" s="82"/>
      <c r="E95" s="82"/>
      <c r="F95" s="82"/>
      <c r="G95" s="82"/>
      <c r="H95" s="83"/>
      <c r="I95" s="84">
        <f t="shared" si="20"/>
        <v>0</v>
      </c>
      <c r="J95" s="81">
        <f t="shared" si="16"/>
        <v>0</v>
      </c>
      <c r="K95" s="84">
        <f t="shared" si="18"/>
        <v>0</v>
      </c>
      <c r="L95" s="84">
        <f t="shared" si="19"/>
        <v>0</v>
      </c>
    </row>
    <row r="96" spans="2:12">
      <c r="B96" s="82"/>
      <c r="C96" s="82"/>
      <c r="D96" s="82"/>
      <c r="E96" s="82"/>
      <c r="F96" s="82"/>
      <c r="G96" s="82"/>
      <c r="H96" s="83"/>
      <c r="I96" s="84">
        <f t="shared" si="20"/>
        <v>0</v>
      </c>
      <c r="J96" s="81">
        <f t="shared" si="16"/>
        <v>0</v>
      </c>
      <c r="K96" s="84">
        <f t="shared" si="18"/>
        <v>0</v>
      </c>
      <c r="L96" s="84">
        <f t="shared" si="19"/>
        <v>0</v>
      </c>
    </row>
    <row r="97" spans="2:12">
      <c r="B97" s="82"/>
      <c r="C97" s="82"/>
      <c r="D97" s="82"/>
      <c r="E97" s="82"/>
      <c r="F97" s="82"/>
      <c r="G97" s="82"/>
      <c r="H97" s="83"/>
      <c r="I97" s="84">
        <f t="shared" si="20"/>
        <v>0</v>
      </c>
      <c r="J97" s="81">
        <f t="shared" si="16"/>
        <v>0</v>
      </c>
      <c r="K97" s="84">
        <f t="shared" si="18"/>
        <v>0</v>
      </c>
      <c r="L97" s="84">
        <f t="shared" si="19"/>
        <v>0</v>
      </c>
    </row>
    <row r="98" spans="2:12">
      <c r="B98" s="82"/>
      <c r="C98" s="82"/>
      <c r="D98" s="82"/>
      <c r="E98" s="82"/>
      <c r="F98" s="82"/>
      <c r="G98" s="82"/>
      <c r="H98" s="83"/>
      <c r="I98" s="84">
        <f t="shared" si="20"/>
        <v>0</v>
      </c>
      <c r="J98" s="81">
        <f t="shared" si="16"/>
        <v>0</v>
      </c>
      <c r="K98" s="84">
        <f t="shared" si="18"/>
        <v>0</v>
      </c>
      <c r="L98" s="84">
        <f t="shared" si="19"/>
        <v>0</v>
      </c>
    </row>
    <row r="99" spans="2:12">
      <c r="B99" s="82"/>
      <c r="C99" s="82"/>
      <c r="D99" s="82"/>
      <c r="E99" s="82"/>
      <c r="F99" s="82"/>
      <c r="G99" s="82"/>
      <c r="H99" s="83"/>
      <c r="I99" s="84">
        <f t="shared" si="20"/>
        <v>0</v>
      </c>
      <c r="J99" s="81">
        <f t="shared" si="16"/>
        <v>0</v>
      </c>
      <c r="K99" s="84">
        <f t="shared" si="18"/>
        <v>0</v>
      </c>
      <c r="L99" s="84">
        <f t="shared" si="19"/>
        <v>0</v>
      </c>
    </row>
    <row r="100" spans="2:12">
      <c r="B100" s="82"/>
      <c r="C100" s="82"/>
      <c r="D100" s="82"/>
      <c r="E100" s="82"/>
      <c r="F100" s="82"/>
      <c r="G100" s="82"/>
      <c r="H100" s="83"/>
      <c r="I100" s="84">
        <f t="shared" si="20"/>
        <v>0</v>
      </c>
      <c r="J100" s="81">
        <f t="shared" si="16"/>
        <v>0</v>
      </c>
      <c r="K100" s="84">
        <f t="shared" ref="K100:K109" si="21">I100*0.2</f>
        <v>0</v>
      </c>
      <c r="L100" s="84">
        <f t="shared" ref="L100:L109" si="22">I100-K100</f>
        <v>0</v>
      </c>
    </row>
    <row r="101" spans="2:12">
      <c r="B101" s="82"/>
      <c r="C101" s="82"/>
      <c r="D101" s="82"/>
      <c r="E101" s="82"/>
      <c r="F101" s="82"/>
      <c r="G101" s="82"/>
      <c r="H101" s="83"/>
      <c r="I101" s="84">
        <f t="shared" si="20"/>
        <v>0</v>
      </c>
      <c r="J101" s="81">
        <f t="shared" si="16"/>
        <v>0</v>
      </c>
      <c r="K101" s="84">
        <f t="shared" si="21"/>
        <v>0</v>
      </c>
      <c r="L101" s="84">
        <f t="shared" si="22"/>
        <v>0</v>
      </c>
    </row>
    <row r="102" spans="2:12">
      <c r="B102" s="82"/>
      <c r="C102" s="82"/>
      <c r="D102" s="82"/>
      <c r="E102" s="82"/>
      <c r="F102" s="82"/>
      <c r="G102" s="82"/>
      <c r="H102" s="83"/>
      <c r="I102" s="84">
        <f t="shared" si="20"/>
        <v>0</v>
      </c>
      <c r="J102" s="81">
        <f t="shared" si="16"/>
        <v>0</v>
      </c>
      <c r="K102" s="84">
        <f t="shared" si="21"/>
        <v>0</v>
      </c>
      <c r="L102" s="84">
        <f t="shared" si="22"/>
        <v>0</v>
      </c>
    </row>
    <row r="103" spans="2:12">
      <c r="B103" s="82"/>
      <c r="C103" s="82"/>
      <c r="D103" s="82"/>
      <c r="E103" s="82"/>
      <c r="F103" s="82"/>
      <c r="G103" s="82"/>
      <c r="H103" s="83"/>
      <c r="I103" s="84">
        <f t="shared" si="20"/>
        <v>0</v>
      </c>
      <c r="J103" s="81">
        <f t="shared" si="16"/>
        <v>0</v>
      </c>
      <c r="K103" s="84">
        <f t="shared" si="21"/>
        <v>0</v>
      </c>
      <c r="L103" s="84">
        <f t="shared" si="22"/>
        <v>0</v>
      </c>
    </row>
    <row r="104" spans="2:12">
      <c r="B104" s="82"/>
      <c r="C104" s="82"/>
      <c r="D104" s="82"/>
      <c r="E104" s="82"/>
      <c r="F104" s="82"/>
      <c r="G104" s="82"/>
      <c r="H104" s="83"/>
      <c r="I104" s="84">
        <f t="shared" si="20"/>
        <v>0</v>
      </c>
      <c r="J104" s="81">
        <f t="shared" si="16"/>
        <v>0</v>
      </c>
      <c r="K104" s="84">
        <f t="shared" si="21"/>
        <v>0</v>
      </c>
      <c r="L104" s="84">
        <f t="shared" si="22"/>
        <v>0</v>
      </c>
    </row>
    <row r="105" spans="2:12">
      <c r="B105" s="82"/>
      <c r="C105" s="82"/>
      <c r="D105" s="82"/>
      <c r="E105" s="82"/>
      <c r="F105" s="82"/>
      <c r="G105" s="82"/>
      <c r="H105" s="83"/>
      <c r="I105" s="84">
        <f t="shared" si="20"/>
        <v>0</v>
      </c>
      <c r="J105" s="81">
        <f t="shared" si="16"/>
        <v>0</v>
      </c>
      <c r="K105" s="84">
        <f t="shared" si="21"/>
        <v>0</v>
      </c>
      <c r="L105" s="84">
        <f t="shared" si="22"/>
        <v>0</v>
      </c>
    </row>
    <row r="106" spans="2:12">
      <c r="B106" s="82"/>
      <c r="C106" s="82"/>
      <c r="D106" s="82"/>
      <c r="E106" s="82"/>
      <c r="F106" s="82"/>
      <c r="G106" s="82"/>
      <c r="H106" s="83"/>
      <c r="I106" s="84">
        <f t="shared" si="20"/>
        <v>0</v>
      </c>
      <c r="J106" s="81">
        <f t="shared" si="16"/>
        <v>0</v>
      </c>
      <c r="K106" s="84">
        <f t="shared" si="21"/>
        <v>0</v>
      </c>
      <c r="L106" s="84">
        <f t="shared" si="22"/>
        <v>0</v>
      </c>
    </row>
    <row r="107" spans="2:12">
      <c r="B107" s="82"/>
      <c r="C107" s="82"/>
      <c r="D107" s="82"/>
      <c r="E107" s="82"/>
      <c r="F107" s="82"/>
      <c r="G107" s="82"/>
      <c r="H107" s="83"/>
      <c r="I107" s="84">
        <f t="shared" si="20"/>
        <v>0</v>
      </c>
      <c r="J107" s="81">
        <f t="shared" si="16"/>
        <v>0</v>
      </c>
      <c r="K107" s="84">
        <f t="shared" si="21"/>
        <v>0</v>
      </c>
      <c r="L107" s="84">
        <f t="shared" si="22"/>
        <v>0</v>
      </c>
    </row>
    <row r="108" spans="2:12">
      <c r="B108" s="82"/>
      <c r="C108" s="82"/>
      <c r="D108" s="82"/>
      <c r="E108" s="82"/>
      <c r="F108" s="82"/>
      <c r="G108" s="82"/>
      <c r="H108" s="83"/>
      <c r="I108" s="84">
        <f t="shared" si="20"/>
        <v>0</v>
      </c>
      <c r="J108" s="81">
        <f t="shared" si="16"/>
        <v>0</v>
      </c>
      <c r="K108" s="84">
        <f t="shared" si="21"/>
        <v>0</v>
      </c>
      <c r="L108" s="84">
        <f t="shared" si="22"/>
        <v>0</v>
      </c>
    </row>
    <row r="109" spans="2:12">
      <c r="B109" s="82"/>
      <c r="C109" s="82"/>
      <c r="D109" s="82"/>
      <c r="E109" s="82"/>
      <c r="F109" s="82"/>
      <c r="G109" s="82"/>
      <c r="H109" s="83"/>
      <c r="I109" s="84">
        <f t="shared" si="20"/>
        <v>0</v>
      </c>
      <c r="J109" s="81">
        <f t="shared" si="16"/>
        <v>0</v>
      </c>
      <c r="K109" s="84">
        <f t="shared" si="21"/>
        <v>0</v>
      </c>
      <c r="L109" s="84">
        <f t="shared" si="22"/>
        <v>0</v>
      </c>
    </row>
  </sheetData>
  <autoFilter ref="B4:L4" xr:uid="{00000000-0009-0000-0000-000002000000}">
    <sortState ref="B5:L124">
      <sortCondition ref="B4"/>
    </sortState>
  </autoFilter>
  <mergeCells count="2">
    <mergeCell ref="B1:L1"/>
    <mergeCell ref="B2:L2"/>
  </mergeCells>
  <pageMargins left="0.23622047244094491" right="0.23622047244094491" top="0.74803149606299213" bottom="0.74803149606299213" header="0.31496062992125984" footer="0.31496062992125984"/>
  <pageSetup paperSize="9" scale="7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4ED1-A56C-4B5A-A745-344073C8D1DA}">
  <dimension ref="A1:M70"/>
  <sheetViews>
    <sheetView topLeftCell="A10" workbookViewId="0">
      <selection activeCell="N32" sqref="N32"/>
    </sheetView>
  </sheetViews>
  <sheetFormatPr defaultColWidth="15.42578125" defaultRowHeight="15"/>
  <cols>
    <col min="1" max="1" width="2.42578125" customWidth="1"/>
  </cols>
  <sheetData>
    <row r="1" spans="1:13">
      <c r="B1" s="356" t="s">
        <v>381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</row>
    <row r="2" spans="1:13">
      <c r="B2" s="357" t="s">
        <v>382</v>
      </c>
      <c r="C2" s="357"/>
      <c r="D2" s="357"/>
      <c r="E2" s="357"/>
      <c r="F2" s="357"/>
      <c r="G2" s="357"/>
      <c r="H2" s="357"/>
      <c r="I2" s="357"/>
      <c r="J2" s="357"/>
      <c r="K2" s="357"/>
      <c r="L2" s="357"/>
    </row>
    <row r="3" spans="1:13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3">
      <c r="B4" s="78" t="s">
        <v>0</v>
      </c>
      <c r="C4" s="79" t="s">
        <v>383</v>
      </c>
      <c r="D4" s="79" t="s">
        <v>1</v>
      </c>
      <c r="E4" s="79" t="s">
        <v>384</v>
      </c>
      <c r="F4" s="79" t="s">
        <v>385</v>
      </c>
      <c r="G4" s="79" t="s">
        <v>386</v>
      </c>
      <c r="H4" s="79" t="s">
        <v>387</v>
      </c>
      <c r="I4" s="79" t="s">
        <v>388</v>
      </c>
      <c r="J4" s="79" t="s">
        <v>389</v>
      </c>
      <c r="K4" s="79" t="s">
        <v>390</v>
      </c>
      <c r="L4" s="80" t="s">
        <v>391</v>
      </c>
    </row>
    <row r="5" spans="1:13">
      <c r="A5">
        <v>1</v>
      </c>
      <c r="B5" s="100">
        <v>45321</v>
      </c>
      <c r="C5" s="101" t="s">
        <v>408</v>
      </c>
      <c r="D5" s="101" t="s">
        <v>8</v>
      </c>
      <c r="E5" s="101">
        <v>352</v>
      </c>
      <c r="F5" s="102">
        <v>2250</v>
      </c>
      <c r="G5" s="101">
        <v>110</v>
      </c>
      <c r="H5" s="102">
        <f>90</f>
        <v>90</v>
      </c>
      <c r="I5" s="103">
        <f>G5*H5</f>
        <v>9900</v>
      </c>
      <c r="J5" s="103"/>
      <c r="K5" s="103">
        <f>I5*0.2</f>
        <v>1980</v>
      </c>
      <c r="L5" s="103">
        <f>I5-K5</f>
        <v>7920</v>
      </c>
      <c r="M5" s="76">
        <f>L5</f>
        <v>7920</v>
      </c>
    </row>
    <row r="6" spans="1:13">
      <c r="A6">
        <v>3</v>
      </c>
      <c r="B6" s="96">
        <v>45324</v>
      </c>
      <c r="C6" s="97" t="s">
        <v>55</v>
      </c>
      <c r="D6" s="97" t="s">
        <v>8</v>
      </c>
      <c r="E6" s="97">
        <v>288</v>
      </c>
      <c r="F6" s="98">
        <f>2340+1384</f>
        <v>3724</v>
      </c>
      <c r="G6" s="97">
        <v>342</v>
      </c>
      <c r="H6" s="98">
        <f>125+8</f>
        <v>133</v>
      </c>
      <c r="I6" s="99">
        <f>G6*H6</f>
        <v>45486</v>
      </c>
      <c r="J6" s="99"/>
      <c r="K6" s="99">
        <f>I6*0.2</f>
        <v>9097.2000000000007</v>
      </c>
      <c r="L6" s="99">
        <f>I6-K6</f>
        <v>36388.800000000003</v>
      </c>
    </row>
    <row r="7" spans="1:13">
      <c r="A7">
        <v>4</v>
      </c>
      <c r="B7" s="96">
        <v>45325</v>
      </c>
      <c r="C7" s="97" t="s">
        <v>426</v>
      </c>
      <c r="D7" s="97" t="s">
        <v>8</v>
      </c>
      <c r="E7" s="97">
        <v>2</v>
      </c>
      <c r="F7" s="98">
        <f>400+250+100+500</f>
        <v>1250</v>
      </c>
      <c r="G7" s="97">
        <v>400</v>
      </c>
      <c r="H7" s="98">
        <f>60</f>
        <v>60</v>
      </c>
      <c r="I7" s="99">
        <f>G7*H7</f>
        <v>24000</v>
      </c>
      <c r="J7" s="99">
        <f>I7*10%</f>
        <v>2400</v>
      </c>
      <c r="K7" s="99">
        <f>I7*0.2</f>
        <v>4800</v>
      </c>
      <c r="L7" s="99">
        <f>I7-K7-J7</f>
        <v>16800</v>
      </c>
    </row>
    <row r="8" spans="1:13">
      <c r="A8">
        <v>5</v>
      </c>
      <c r="B8" s="96">
        <v>45332</v>
      </c>
      <c r="C8" s="97" t="s">
        <v>416</v>
      </c>
      <c r="D8" s="97" t="s">
        <v>8</v>
      </c>
      <c r="E8" s="97">
        <v>278</v>
      </c>
      <c r="F8" s="98">
        <v>0</v>
      </c>
      <c r="G8" s="97">
        <v>887</v>
      </c>
      <c r="H8" s="98">
        <f>9+89.1</f>
        <v>98.1</v>
      </c>
      <c r="I8" s="99">
        <f>G8*H8</f>
        <v>87014.7</v>
      </c>
      <c r="J8" s="99">
        <f>I8*10%</f>
        <v>8701.4699999999993</v>
      </c>
      <c r="K8" s="99">
        <f>I8*0.2</f>
        <v>17402.939999999999</v>
      </c>
      <c r="L8" s="99">
        <f>I8-K8-J8</f>
        <v>60910.289999999994</v>
      </c>
    </row>
    <row r="9" spans="1:13">
      <c r="A9">
        <v>7</v>
      </c>
      <c r="B9" s="96">
        <v>45339</v>
      </c>
      <c r="C9" s="97" t="s">
        <v>419</v>
      </c>
      <c r="D9" s="97" t="s">
        <v>8</v>
      </c>
      <c r="E9" s="97">
        <v>201</v>
      </c>
      <c r="F9" s="98">
        <v>0</v>
      </c>
      <c r="G9" s="97">
        <v>827</v>
      </c>
      <c r="H9" s="98">
        <f>70.5</f>
        <v>70.5</v>
      </c>
      <c r="I9" s="99">
        <f t="shared" ref="I9:I14" si="0">G9*H9</f>
        <v>58303.5</v>
      </c>
      <c r="J9" s="99">
        <f t="shared" ref="J9:J22" si="1">I9*10%</f>
        <v>5830.35</v>
      </c>
      <c r="K9" s="99">
        <f t="shared" ref="K9:K14" si="2">I9*0.2</f>
        <v>11660.7</v>
      </c>
      <c r="L9" s="99">
        <f>I9-K9-J9</f>
        <v>40812.450000000004</v>
      </c>
    </row>
    <row r="10" spans="1:13">
      <c r="A10">
        <v>8</v>
      </c>
      <c r="B10" s="96">
        <v>45345</v>
      </c>
      <c r="C10" s="97" t="s">
        <v>409</v>
      </c>
      <c r="D10" s="97" t="s">
        <v>8</v>
      </c>
      <c r="E10" s="97">
        <v>365</v>
      </c>
      <c r="F10" s="98">
        <v>0</v>
      </c>
      <c r="G10" s="97">
        <v>247</v>
      </c>
      <c r="H10" s="98">
        <f>127+10</f>
        <v>137</v>
      </c>
      <c r="I10" s="99">
        <f t="shared" si="0"/>
        <v>33839</v>
      </c>
      <c r="J10" s="99">
        <f t="shared" si="1"/>
        <v>3383.9</v>
      </c>
      <c r="K10" s="99">
        <f t="shared" si="2"/>
        <v>6767.8</v>
      </c>
      <c r="L10" s="99">
        <f t="shared" ref="L10:L21" si="3">I10-K10-J10</f>
        <v>23687.3</v>
      </c>
    </row>
    <row r="11" spans="1:13">
      <c r="A11">
        <v>9</v>
      </c>
      <c r="B11" s="96">
        <v>45346</v>
      </c>
      <c r="C11" s="97" t="s">
        <v>412</v>
      </c>
      <c r="D11" s="97" t="s">
        <v>8</v>
      </c>
      <c r="E11" s="97">
        <v>316</v>
      </c>
      <c r="F11" s="98">
        <v>0</v>
      </c>
      <c r="G11" s="97">
        <v>772</v>
      </c>
      <c r="H11" s="98">
        <v>90</v>
      </c>
      <c r="I11" s="99">
        <f t="shared" si="0"/>
        <v>69480</v>
      </c>
      <c r="J11" s="99">
        <f t="shared" si="1"/>
        <v>6948</v>
      </c>
      <c r="K11" s="99">
        <f t="shared" si="2"/>
        <v>13896</v>
      </c>
      <c r="L11" s="99">
        <f t="shared" si="3"/>
        <v>48636</v>
      </c>
      <c r="M11" s="76">
        <f>L11+L10+L9+L8+L7+L6</f>
        <v>227234.83999999997</v>
      </c>
    </row>
    <row r="12" spans="1:13">
      <c r="A12">
        <v>10</v>
      </c>
      <c r="B12" s="119">
        <v>45353</v>
      </c>
      <c r="C12" s="120" t="s">
        <v>421</v>
      </c>
      <c r="D12" s="120" t="s">
        <v>8</v>
      </c>
      <c r="E12" s="120">
        <v>190</v>
      </c>
      <c r="F12" s="121">
        <v>0</v>
      </c>
      <c r="G12" s="120">
        <v>440</v>
      </c>
      <c r="H12" s="121">
        <v>45</v>
      </c>
      <c r="I12" s="122">
        <f t="shared" si="0"/>
        <v>19800</v>
      </c>
      <c r="J12" s="122">
        <f t="shared" si="1"/>
        <v>1980</v>
      </c>
      <c r="K12" s="122">
        <f t="shared" si="2"/>
        <v>3960</v>
      </c>
      <c r="L12" s="343">
        <f t="shared" si="3"/>
        <v>13860</v>
      </c>
    </row>
    <row r="13" spans="1:13">
      <c r="A13">
        <v>11</v>
      </c>
      <c r="B13" s="119">
        <v>45359</v>
      </c>
      <c r="C13" s="120" t="s">
        <v>16</v>
      </c>
      <c r="D13" s="120" t="s">
        <v>8</v>
      </c>
      <c r="E13" s="120">
        <v>303</v>
      </c>
      <c r="F13" s="121">
        <v>0</v>
      </c>
      <c r="G13" s="120">
        <v>640</v>
      </c>
      <c r="H13" s="121">
        <f>102+9.9</f>
        <v>111.9</v>
      </c>
      <c r="I13" s="122">
        <f t="shared" si="0"/>
        <v>71616</v>
      </c>
      <c r="J13" s="122">
        <f t="shared" si="1"/>
        <v>7161.6</v>
      </c>
      <c r="K13" s="122">
        <f t="shared" si="2"/>
        <v>14323.2</v>
      </c>
      <c r="L13" s="343">
        <f t="shared" si="3"/>
        <v>50131.200000000004</v>
      </c>
    </row>
    <row r="14" spans="1:13">
      <c r="A14">
        <v>12</v>
      </c>
      <c r="B14" s="119">
        <v>45360</v>
      </c>
      <c r="C14" s="120" t="s">
        <v>422</v>
      </c>
      <c r="D14" s="120" t="s">
        <v>8</v>
      </c>
      <c r="E14" s="120">
        <v>187</v>
      </c>
      <c r="F14" s="121">
        <v>0</v>
      </c>
      <c r="G14" s="120">
        <v>760</v>
      </c>
      <c r="H14" s="121">
        <f>45</f>
        <v>45</v>
      </c>
      <c r="I14" s="122">
        <f t="shared" si="0"/>
        <v>34200</v>
      </c>
      <c r="J14" s="122">
        <f t="shared" si="1"/>
        <v>3420</v>
      </c>
      <c r="K14" s="122">
        <f t="shared" si="2"/>
        <v>6840</v>
      </c>
      <c r="L14" s="343">
        <f t="shared" si="3"/>
        <v>23940</v>
      </c>
    </row>
    <row r="15" spans="1:13">
      <c r="A15">
        <v>13</v>
      </c>
      <c r="B15" s="275">
        <v>45361</v>
      </c>
      <c r="C15" s="276" t="s">
        <v>430</v>
      </c>
      <c r="D15" s="276" t="s">
        <v>8</v>
      </c>
      <c r="E15" s="276"/>
      <c r="F15" s="277"/>
      <c r="G15" s="276"/>
      <c r="H15" s="277"/>
      <c r="I15" s="278"/>
      <c r="J15" s="122">
        <f t="shared" si="1"/>
        <v>0</v>
      </c>
      <c r="K15" s="278"/>
      <c r="L15" s="343">
        <f t="shared" si="3"/>
        <v>0</v>
      </c>
    </row>
    <row r="16" spans="1:13">
      <c r="A16">
        <v>14</v>
      </c>
      <c r="B16" s="119">
        <v>45362</v>
      </c>
      <c r="C16" s="120" t="s">
        <v>392</v>
      </c>
      <c r="D16" s="120" t="s">
        <v>8</v>
      </c>
      <c r="E16" s="120">
        <v>382</v>
      </c>
      <c r="F16" s="121">
        <v>0</v>
      </c>
      <c r="G16" s="120">
        <v>500</v>
      </c>
      <c r="H16" s="121">
        <v>70</v>
      </c>
      <c r="I16" s="122">
        <f t="shared" ref="I16:I26" si="4">G16*H16</f>
        <v>35000</v>
      </c>
      <c r="J16" s="122">
        <f t="shared" si="1"/>
        <v>3500</v>
      </c>
      <c r="K16" s="122">
        <f t="shared" ref="K16:K23" si="5">I16*0.2</f>
        <v>7000</v>
      </c>
      <c r="L16" s="343">
        <f t="shared" si="3"/>
        <v>24500</v>
      </c>
    </row>
    <row r="17" spans="1:13">
      <c r="A17">
        <v>15</v>
      </c>
      <c r="B17" s="119">
        <v>45365</v>
      </c>
      <c r="C17" s="120" t="s">
        <v>34</v>
      </c>
      <c r="D17" s="120" t="s">
        <v>8</v>
      </c>
      <c r="E17" s="120">
        <v>370</v>
      </c>
      <c r="F17" s="121">
        <v>4000</v>
      </c>
      <c r="G17" s="120">
        <v>370</v>
      </c>
      <c r="H17" s="121">
        <f>90+44.3</f>
        <v>134.30000000000001</v>
      </c>
      <c r="I17" s="122">
        <f t="shared" si="4"/>
        <v>49691.000000000007</v>
      </c>
      <c r="J17" s="122">
        <f t="shared" si="1"/>
        <v>4969.1000000000013</v>
      </c>
      <c r="K17" s="122">
        <f t="shared" si="5"/>
        <v>9938.2000000000025</v>
      </c>
      <c r="L17" s="343">
        <f t="shared" si="3"/>
        <v>34783.700000000004</v>
      </c>
      <c r="M17" s="76"/>
    </row>
    <row r="18" spans="1:13">
      <c r="A18">
        <v>19</v>
      </c>
      <c r="B18" s="119">
        <v>45381</v>
      </c>
      <c r="C18" s="120" t="s">
        <v>425</v>
      </c>
      <c r="D18" s="120" t="s">
        <v>8</v>
      </c>
      <c r="E18" s="120">
        <v>250</v>
      </c>
      <c r="F18" s="121"/>
      <c r="G18" s="120">
        <v>922</v>
      </c>
      <c r="H18" s="121">
        <f>95</f>
        <v>95</v>
      </c>
      <c r="I18" s="122">
        <f t="shared" si="4"/>
        <v>87590</v>
      </c>
      <c r="J18" s="122">
        <f t="shared" si="1"/>
        <v>8759</v>
      </c>
      <c r="K18" s="122">
        <f t="shared" si="5"/>
        <v>17518</v>
      </c>
      <c r="L18" s="343">
        <f t="shared" si="3"/>
        <v>61313</v>
      </c>
      <c r="M18" s="76">
        <f>SUM(L12:L18)</f>
        <v>208527.90000000002</v>
      </c>
    </row>
    <row r="19" spans="1:13">
      <c r="A19">
        <v>21</v>
      </c>
      <c r="B19" s="96">
        <v>45388</v>
      </c>
      <c r="C19" s="97" t="s">
        <v>420</v>
      </c>
      <c r="D19" s="97" t="s">
        <v>8</v>
      </c>
      <c r="E19" s="97">
        <v>193</v>
      </c>
      <c r="F19" s="98">
        <v>0</v>
      </c>
      <c r="G19" s="97">
        <v>700</v>
      </c>
      <c r="H19" s="98">
        <f>70</f>
        <v>70</v>
      </c>
      <c r="I19" s="99">
        <f t="shared" si="4"/>
        <v>49000</v>
      </c>
      <c r="J19" s="99">
        <f t="shared" si="1"/>
        <v>4900</v>
      </c>
      <c r="K19" s="99">
        <f t="shared" si="5"/>
        <v>9800</v>
      </c>
      <c r="L19" s="343">
        <f t="shared" si="3"/>
        <v>34300</v>
      </c>
    </row>
    <row r="20" spans="1:13">
      <c r="B20" s="96">
        <v>45402</v>
      </c>
      <c r="C20" s="97" t="s">
        <v>417</v>
      </c>
      <c r="D20" s="97" t="s">
        <v>8</v>
      </c>
      <c r="E20" s="97">
        <v>266</v>
      </c>
      <c r="F20" s="98">
        <f>1250</f>
        <v>1250</v>
      </c>
      <c r="G20" s="97">
        <v>976</v>
      </c>
      <c r="H20" s="98">
        <f>88</f>
        <v>88</v>
      </c>
      <c r="I20" s="99">
        <f t="shared" si="4"/>
        <v>85888</v>
      </c>
      <c r="J20" s="99">
        <f>I20*10%</f>
        <v>8588.8000000000011</v>
      </c>
      <c r="K20" s="99">
        <f>I20*0.2</f>
        <v>17177.600000000002</v>
      </c>
      <c r="L20" s="343">
        <f t="shared" si="3"/>
        <v>60121.599999999991</v>
      </c>
    </row>
    <row r="21" spans="1:13">
      <c r="A21">
        <v>24</v>
      </c>
      <c r="B21" s="96">
        <v>45409</v>
      </c>
      <c r="C21" s="97" t="s">
        <v>418</v>
      </c>
      <c r="D21" s="97" t="s">
        <v>8</v>
      </c>
      <c r="E21" s="97">
        <v>265</v>
      </c>
      <c r="F21" s="98">
        <v>0</v>
      </c>
      <c r="G21" s="97">
        <v>801</v>
      </c>
      <c r="H21" s="98">
        <f>95</f>
        <v>95</v>
      </c>
      <c r="I21" s="99">
        <f t="shared" si="4"/>
        <v>76095</v>
      </c>
      <c r="J21" s="99">
        <f t="shared" si="1"/>
        <v>7609.5</v>
      </c>
      <c r="K21" s="99">
        <f t="shared" si="5"/>
        <v>15219</v>
      </c>
      <c r="L21" s="343">
        <f t="shared" si="3"/>
        <v>53266.5</v>
      </c>
      <c r="M21" s="76">
        <f>SUM(L19:L21)</f>
        <v>147688.09999999998</v>
      </c>
    </row>
    <row r="22" spans="1:13">
      <c r="A22">
        <v>25</v>
      </c>
      <c r="B22" s="89">
        <v>45416</v>
      </c>
      <c r="C22" s="90" t="s">
        <v>22</v>
      </c>
      <c r="D22" s="90" t="s">
        <v>8</v>
      </c>
      <c r="E22" s="90">
        <v>329</v>
      </c>
      <c r="F22" s="91">
        <v>2750</v>
      </c>
      <c r="G22" s="90">
        <v>129</v>
      </c>
      <c r="H22" s="91">
        <v>147.32</v>
      </c>
      <c r="I22" s="81">
        <f t="shared" si="4"/>
        <v>19004.28</v>
      </c>
      <c r="J22" s="81">
        <f t="shared" si="1"/>
        <v>1900.4279999999999</v>
      </c>
      <c r="K22" s="81">
        <f t="shared" si="5"/>
        <v>3800.8559999999998</v>
      </c>
      <c r="L22" s="81">
        <f>I22-K22-J22</f>
        <v>13302.995999999999</v>
      </c>
      <c r="M22" s="76">
        <f>L22</f>
        <v>13302.995999999999</v>
      </c>
    </row>
    <row r="23" spans="1:13">
      <c r="A23">
        <v>26</v>
      </c>
      <c r="B23" s="92">
        <v>45446</v>
      </c>
      <c r="C23" s="93" t="s">
        <v>392</v>
      </c>
      <c r="D23" s="93" t="s">
        <v>8</v>
      </c>
      <c r="E23" s="93">
        <v>433</v>
      </c>
      <c r="F23" s="94">
        <v>0</v>
      </c>
      <c r="G23" s="93">
        <v>360</v>
      </c>
      <c r="H23" s="94">
        <v>70</v>
      </c>
      <c r="I23" s="95">
        <f t="shared" si="4"/>
        <v>25200</v>
      </c>
      <c r="J23" s="95"/>
      <c r="K23" s="95">
        <f t="shared" si="5"/>
        <v>5040</v>
      </c>
      <c r="L23" s="95">
        <f t="shared" ref="L23" si="6">I23-K23</f>
        <v>20160</v>
      </c>
    </row>
    <row r="24" spans="1:13">
      <c r="A24">
        <v>28</v>
      </c>
      <c r="B24" s="92">
        <v>45462</v>
      </c>
      <c r="C24" s="93" t="s">
        <v>39</v>
      </c>
      <c r="D24" s="93" t="s">
        <v>8</v>
      </c>
      <c r="E24" s="93">
        <v>429</v>
      </c>
      <c r="F24" s="94">
        <v>8500</v>
      </c>
      <c r="G24" s="93">
        <v>600</v>
      </c>
      <c r="H24" s="94">
        <f>89</f>
        <v>89</v>
      </c>
      <c r="I24" s="95">
        <f t="shared" si="4"/>
        <v>53400</v>
      </c>
      <c r="J24" s="95"/>
      <c r="K24" s="95">
        <f>I24*0.2</f>
        <v>10680</v>
      </c>
      <c r="L24" s="95">
        <f>I24-K24</f>
        <v>42720</v>
      </c>
    </row>
    <row r="25" spans="1:13">
      <c r="A25" s="110">
        <v>29</v>
      </c>
      <c r="B25" s="92">
        <v>45465</v>
      </c>
      <c r="C25" s="93" t="s">
        <v>403</v>
      </c>
      <c r="D25" s="93" t="s">
        <v>8</v>
      </c>
      <c r="E25" s="93">
        <v>430</v>
      </c>
      <c r="F25" s="94">
        <v>6100</v>
      </c>
      <c r="G25" s="93">
        <v>350</v>
      </c>
      <c r="H25" s="94">
        <v>166.44</v>
      </c>
      <c r="I25" s="95">
        <f t="shared" si="4"/>
        <v>58254</v>
      </c>
      <c r="J25" s="95"/>
      <c r="K25" s="95">
        <f>I25*0.2</f>
        <v>11650.800000000001</v>
      </c>
      <c r="L25" s="95">
        <f>I25-K25</f>
        <v>46603.199999999997</v>
      </c>
      <c r="M25" s="76">
        <f>SUM(L23:L25)</f>
        <v>109483.2</v>
      </c>
    </row>
    <row r="26" spans="1:13">
      <c r="A26">
        <v>30</v>
      </c>
      <c r="B26" s="96">
        <v>45486</v>
      </c>
      <c r="C26" s="97" t="s">
        <v>406</v>
      </c>
      <c r="D26" s="97" t="s">
        <v>8</v>
      </c>
      <c r="E26" s="97">
        <v>375</v>
      </c>
      <c r="F26" s="98">
        <v>8000</v>
      </c>
      <c r="G26" s="97">
        <v>360</v>
      </c>
      <c r="H26" s="98">
        <f>87+30+89</f>
        <v>206</v>
      </c>
      <c r="I26" s="99">
        <f t="shared" si="4"/>
        <v>74160</v>
      </c>
      <c r="J26" s="99"/>
      <c r="K26" s="99">
        <f>I26*0.2</f>
        <v>14832</v>
      </c>
      <c r="L26" s="99">
        <f>I26-K26</f>
        <v>59328</v>
      </c>
      <c r="M26" s="76"/>
    </row>
    <row r="27" spans="1:13">
      <c r="A27">
        <v>31</v>
      </c>
      <c r="B27" s="279">
        <v>45497</v>
      </c>
      <c r="C27" s="280" t="s">
        <v>431</v>
      </c>
      <c r="D27" s="280" t="s">
        <v>8</v>
      </c>
      <c r="E27" s="280">
        <v>459</v>
      </c>
      <c r="F27" s="281"/>
      <c r="G27" s="280"/>
      <c r="H27" s="281"/>
      <c r="I27" s="282"/>
      <c r="J27" s="282"/>
      <c r="K27" s="282"/>
      <c r="L27" s="282"/>
    </row>
    <row r="28" spans="1:13">
      <c r="A28">
        <v>32</v>
      </c>
      <c r="B28" s="96">
        <v>45499</v>
      </c>
      <c r="C28" s="97" t="s">
        <v>27</v>
      </c>
      <c r="D28" s="97" t="s">
        <v>8</v>
      </c>
      <c r="E28" s="97">
        <v>363</v>
      </c>
      <c r="F28" s="98">
        <v>0</v>
      </c>
      <c r="G28" s="97">
        <v>390</v>
      </c>
      <c r="H28" s="98">
        <f>127+10</f>
        <v>137</v>
      </c>
      <c r="I28" s="99">
        <f t="shared" ref="I28:I34" si="7">G28*H28</f>
        <v>53430</v>
      </c>
      <c r="J28" s="99">
        <f>I28*10%</f>
        <v>5343</v>
      </c>
      <c r="K28" s="99">
        <f>I28*0.2</f>
        <v>10686</v>
      </c>
      <c r="L28" s="99">
        <f>I28-K28-J28</f>
        <v>37401</v>
      </c>
      <c r="M28" s="76">
        <f>SUM(L26:L28)</f>
        <v>96729</v>
      </c>
    </row>
    <row r="29" spans="1:13">
      <c r="A29">
        <v>34</v>
      </c>
      <c r="B29" s="92">
        <v>45507</v>
      </c>
      <c r="C29" s="93" t="s">
        <v>401</v>
      </c>
      <c r="D29" s="93" t="s">
        <v>8</v>
      </c>
      <c r="E29" s="93">
        <v>452</v>
      </c>
      <c r="F29" s="94">
        <v>250</v>
      </c>
      <c r="G29" s="93">
        <v>10</v>
      </c>
      <c r="H29" s="94">
        <v>35</v>
      </c>
      <c r="I29" s="95">
        <f t="shared" si="7"/>
        <v>350</v>
      </c>
      <c r="J29" s="95"/>
      <c r="K29" s="95">
        <f>I29*0.2</f>
        <v>70</v>
      </c>
      <c r="L29" s="95">
        <f>I29-K29</f>
        <v>280</v>
      </c>
    </row>
    <row r="30" spans="1:13">
      <c r="A30">
        <v>36</v>
      </c>
      <c r="B30" s="92">
        <v>45520</v>
      </c>
      <c r="C30" s="93" t="s">
        <v>405</v>
      </c>
      <c r="D30" s="93" t="s">
        <v>8</v>
      </c>
      <c r="E30" s="93">
        <v>400</v>
      </c>
      <c r="F30" s="94">
        <v>2750</v>
      </c>
      <c r="G30" s="93">
        <v>287</v>
      </c>
      <c r="H30" s="94">
        <v>125</v>
      </c>
      <c r="I30" s="95">
        <f t="shared" si="7"/>
        <v>35875</v>
      </c>
      <c r="J30" s="95"/>
      <c r="K30" s="95">
        <f>I30*0.2</f>
        <v>7175</v>
      </c>
      <c r="L30" s="95">
        <f>I30-K30</f>
        <v>28700</v>
      </c>
    </row>
    <row r="31" spans="1:13">
      <c r="A31">
        <v>37</v>
      </c>
      <c r="B31" s="92">
        <v>45521</v>
      </c>
      <c r="C31" s="93" t="s">
        <v>407</v>
      </c>
      <c r="D31" s="93" t="s">
        <v>8</v>
      </c>
      <c r="E31" s="93">
        <v>345</v>
      </c>
      <c r="F31" s="94">
        <v>0</v>
      </c>
      <c r="G31" s="93">
        <v>323</v>
      </c>
      <c r="H31" s="94">
        <f>89+9.9</f>
        <v>98.9</v>
      </c>
      <c r="I31" s="95">
        <f t="shared" si="7"/>
        <v>31944.7</v>
      </c>
      <c r="J31" s="95">
        <f>I31*10%</f>
        <v>3194.4700000000003</v>
      </c>
      <c r="K31" s="95">
        <f>I31*0.2</f>
        <v>6388.9400000000005</v>
      </c>
      <c r="L31" s="95">
        <f>I31-K31-J31</f>
        <v>22361.29</v>
      </c>
    </row>
    <row r="32" spans="1:13">
      <c r="A32">
        <v>39</v>
      </c>
      <c r="B32" s="92">
        <v>45528</v>
      </c>
      <c r="C32" s="93" t="s">
        <v>414</v>
      </c>
      <c r="D32" s="93" t="s">
        <v>8</v>
      </c>
      <c r="E32" s="93">
        <v>305</v>
      </c>
      <c r="F32" s="94">
        <v>0</v>
      </c>
      <c r="G32" s="93">
        <v>630</v>
      </c>
      <c r="H32" s="94">
        <f>107+9.99</f>
        <v>116.99</v>
      </c>
      <c r="I32" s="95">
        <f t="shared" si="7"/>
        <v>73703.7</v>
      </c>
      <c r="J32" s="95">
        <f>I32*10%</f>
        <v>7370.37</v>
      </c>
      <c r="K32" s="95">
        <f t="shared" ref="K32:K39" si="8">I32*0.2</f>
        <v>14740.74</v>
      </c>
      <c r="L32" s="95">
        <f>I32-K32-J32</f>
        <v>51592.59</v>
      </c>
    </row>
    <row r="33" spans="1:13">
      <c r="A33">
        <v>40</v>
      </c>
      <c r="B33" s="92">
        <v>45534</v>
      </c>
      <c r="C33" s="93" t="s">
        <v>402</v>
      </c>
      <c r="D33" s="93" t="s">
        <v>8</v>
      </c>
      <c r="E33" s="93">
        <v>439</v>
      </c>
      <c r="F33" s="94">
        <v>3550</v>
      </c>
      <c r="G33" s="93">
        <v>250</v>
      </c>
      <c r="H33" s="94">
        <f>130+12</f>
        <v>142</v>
      </c>
      <c r="I33" s="95">
        <f t="shared" si="7"/>
        <v>35500</v>
      </c>
      <c r="J33" s="95"/>
      <c r="K33" s="95">
        <f t="shared" si="8"/>
        <v>7100</v>
      </c>
      <c r="L33" s="95">
        <f t="shared" ref="L33:L39" si="9">I33-K33</f>
        <v>28400</v>
      </c>
    </row>
    <row r="34" spans="1:13">
      <c r="A34">
        <v>41</v>
      </c>
      <c r="B34" s="92">
        <v>45535</v>
      </c>
      <c r="C34" s="93" t="s">
        <v>415</v>
      </c>
      <c r="D34" s="93" t="s">
        <v>8</v>
      </c>
      <c r="E34" s="93">
        <v>304</v>
      </c>
      <c r="F34" s="94">
        <v>0</v>
      </c>
      <c r="G34" s="93">
        <v>750</v>
      </c>
      <c r="H34" s="94">
        <f>107+9.99</f>
        <v>116.99</v>
      </c>
      <c r="I34" s="95">
        <f t="shared" si="7"/>
        <v>87742.5</v>
      </c>
      <c r="J34" s="95">
        <f>I34*10%</f>
        <v>8774.25</v>
      </c>
      <c r="K34" s="95">
        <f t="shared" si="8"/>
        <v>17548.5</v>
      </c>
      <c r="L34" s="95">
        <f t="shared" si="9"/>
        <v>70194</v>
      </c>
      <c r="M34" s="76">
        <f>SUM(L29:L34)</f>
        <v>201527.88</v>
      </c>
    </row>
    <row r="35" spans="1:13">
      <c r="A35">
        <v>42</v>
      </c>
      <c r="B35" s="285">
        <v>45542</v>
      </c>
      <c r="C35" s="286" t="s">
        <v>22</v>
      </c>
      <c r="D35" s="286" t="s">
        <v>8</v>
      </c>
      <c r="E35" s="286">
        <v>413</v>
      </c>
      <c r="F35" s="287">
        <v>8316</v>
      </c>
      <c r="G35" s="286">
        <f>184</f>
        <v>184</v>
      </c>
      <c r="H35" s="287">
        <v>174</v>
      </c>
      <c r="I35" s="288">
        <f>G35*H35+32*60</f>
        <v>33936</v>
      </c>
      <c r="J35" s="288"/>
      <c r="K35" s="288">
        <f t="shared" si="8"/>
        <v>6787.2000000000007</v>
      </c>
      <c r="L35" s="288">
        <f t="shared" si="9"/>
        <v>27148.799999999999</v>
      </c>
    </row>
    <row r="36" spans="1:13">
      <c r="A36">
        <v>43</v>
      </c>
      <c r="B36" s="96">
        <v>45544</v>
      </c>
      <c r="C36" s="97" t="s">
        <v>398</v>
      </c>
      <c r="D36" s="97" t="s">
        <v>399</v>
      </c>
      <c r="E36" s="97">
        <v>492</v>
      </c>
      <c r="F36" s="98">
        <v>0</v>
      </c>
      <c r="G36" s="97">
        <v>450</v>
      </c>
      <c r="H36" s="98">
        <v>70</v>
      </c>
      <c r="I36" s="99">
        <f>G36*H36</f>
        <v>31500</v>
      </c>
      <c r="J36" s="99"/>
      <c r="K36" s="99">
        <f t="shared" si="8"/>
        <v>6300</v>
      </c>
      <c r="L36" s="99">
        <f t="shared" si="9"/>
        <v>25200</v>
      </c>
    </row>
    <row r="37" spans="1:13">
      <c r="B37" s="96">
        <v>45550</v>
      </c>
      <c r="C37" s="97" t="s">
        <v>525</v>
      </c>
      <c r="D37" s="97" t="s">
        <v>526</v>
      </c>
      <c r="E37" s="97">
        <v>497</v>
      </c>
      <c r="F37" s="98">
        <v>0</v>
      </c>
      <c r="G37" s="97">
        <v>60</v>
      </c>
      <c r="H37" s="98">
        <v>89</v>
      </c>
      <c r="I37" s="99">
        <f>G37*H37</f>
        <v>5340</v>
      </c>
      <c r="J37" s="99"/>
      <c r="K37" s="99">
        <f t="shared" si="8"/>
        <v>1068</v>
      </c>
      <c r="L37" s="99">
        <f t="shared" si="9"/>
        <v>4272</v>
      </c>
    </row>
    <row r="38" spans="1:13">
      <c r="A38">
        <v>44</v>
      </c>
      <c r="B38" s="96">
        <v>45548</v>
      </c>
      <c r="C38" s="97" t="s">
        <v>404</v>
      </c>
      <c r="D38" s="97" t="s">
        <v>8</v>
      </c>
      <c r="E38" s="97">
        <v>424</v>
      </c>
      <c r="F38" s="98">
        <v>9700</v>
      </c>
      <c r="G38" s="97">
        <f>300+153</f>
        <v>453</v>
      </c>
      <c r="H38" s="98">
        <f>96</f>
        <v>96</v>
      </c>
      <c r="I38" s="99">
        <f>G38*H38</f>
        <v>43488</v>
      </c>
      <c r="J38" s="99">
        <f>I38*10%</f>
        <v>4348.8</v>
      </c>
      <c r="K38" s="99">
        <f t="shared" si="8"/>
        <v>8697.6</v>
      </c>
      <c r="L38" s="99">
        <f t="shared" si="9"/>
        <v>34790.400000000001</v>
      </c>
    </row>
    <row r="39" spans="1:13">
      <c r="A39">
        <v>45</v>
      </c>
      <c r="B39" s="96">
        <v>45549</v>
      </c>
      <c r="C39" s="97" t="s">
        <v>411</v>
      </c>
      <c r="D39" s="97" t="s">
        <v>8</v>
      </c>
      <c r="E39" s="97">
        <v>317</v>
      </c>
      <c r="F39" s="98">
        <v>0</v>
      </c>
      <c r="G39" s="97">
        <f>454+28</f>
        <v>482</v>
      </c>
      <c r="H39" s="98">
        <f>73+7</f>
        <v>80</v>
      </c>
      <c r="I39" s="99">
        <f>G39*H39</f>
        <v>38560</v>
      </c>
      <c r="J39" s="99">
        <f>I39*10%</f>
        <v>3856</v>
      </c>
      <c r="K39" s="99">
        <f t="shared" si="8"/>
        <v>7712</v>
      </c>
      <c r="L39" s="99">
        <f t="shared" si="9"/>
        <v>30848</v>
      </c>
    </row>
    <row r="40" spans="1:13">
      <c r="A40">
        <v>46</v>
      </c>
      <c r="B40" s="279">
        <v>45556</v>
      </c>
      <c r="C40" s="280" t="s">
        <v>432</v>
      </c>
      <c r="D40" s="280" t="s">
        <v>8</v>
      </c>
      <c r="E40" s="280">
        <v>449</v>
      </c>
      <c r="F40" s="281"/>
      <c r="G40" s="280"/>
      <c r="H40" s="281"/>
      <c r="I40" s="282"/>
      <c r="J40" s="282"/>
      <c r="K40" s="282"/>
      <c r="L40" s="282"/>
    </row>
    <row r="41" spans="1:13">
      <c r="A41">
        <v>48</v>
      </c>
      <c r="B41" s="96">
        <v>45559</v>
      </c>
      <c r="C41" s="97" t="s">
        <v>139</v>
      </c>
      <c r="D41" s="97" t="s">
        <v>8</v>
      </c>
      <c r="E41" s="97">
        <v>465</v>
      </c>
      <c r="F41" s="98">
        <v>1180</v>
      </c>
      <c r="G41" s="97">
        <v>150</v>
      </c>
      <c r="H41" s="339">
        <f>80-8</f>
        <v>72</v>
      </c>
      <c r="I41" s="99">
        <f t="shared" ref="I41:I58" si="10">G41*H41</f>
        <v>10800</v>
      </c>
      <c r="J41" s="99"/>
      <c r="K41" s="99">
        <f t="shared" ref="K41:K70" si="11">I41*0.2</f>
        <v>2160</v>
      </c>
      <c r="L41" s="99">
        <f t="shared" ref="L41:L70" si="12">I41-K41</f>
        <v>8640</v>
      </c>
    </row>
    <row r="42" spans="1:13">
      <c r="A42">
        <v>49</v>
      </c>
      <c r="B42" s="96">
        <v>45563</v>
      </c>
      <c r="C42" s="97" t="s">
        <v>397</v>
      </c>
      <c r="D42" s="97" t="s">
        <v>8</v>
      </c>
      <c r="E42" s="97">
        <v>502</v>
      </c>
      <c r="F42" s="98">
        <v>1250</v>
      </c>
      <c r="G42" s="97">
        <v>60</v>
      </c>
      <c r="H42" s="98">
        <v>112.5</v>
      </c>
      <c r="I42" s="99">
        <f t="shared" si="10"/>
        <v>6750</v>
      </c>
      <c r="J42" s="99"/>
      <c r="K42" s="99">
        <f t="shared" si="11"/>
        <v>1350</v>
      </c>
      <c r="L42" s="99">
        <f t="shared" si="12"/>
        <v>5400</v>
      </c>
      <c r="M42" s="76">
        <f>SUM(L35:L42)</f>
        <v>136299.20000000001</v>
      </c>
    </row>
    <row r="43" spans="1:13">
      <c r="A43">
        <v>50</v>
      </c>
      <c r="B43" s="92">
        <v>45566</v>
      </c>
      <c r="C43" s="93" t="s">
        <v>144</v>
      </c>
      <c r="D43" s="93" t="s">
        <v>8</v>
      </c>
      <c r="E43" s="93">
        <v>505</v>
      </c>
      <c r="F43" s="94">
        <v>4910</v>
      </c>
      <c r="G43" s="93">
        <v>250</v>
      </c>
      <c r="H43" s="94">
        <f>16.9+38.9+78</f>
        <v>133.80000000000001</v>
      </c>
      <c r="I43" s="95">
        <f t="shared" si="10"/>
        <v>33450</v>
      </c>
      <c r="J43" s="95"/>
      <c r="K43" s="95">
        <f t="shared" si="11"/>
        <v>6690</v>
      </c>
      <c r="L43" s="95">
        <f t="shared" si="12"/>
        <v>26760</v>
      </c>
    </row>
    <row r="44" spans="1:13">
      <c r="A44">
        <v>51</v>
      </c>
      <c r="B44" s="92">
        <v>45576</v>
      </c>
      <c r="C44" s="93" t="s">
        <v>410</v>
      </c>
      <c r="D44" s="93" t="s">
        <v>8</v>
      </c>
      <c r="E44" s="93">
        <v>344</v>
      </c>
      <c r="F44" s="94">
        <v>0</v>
      </c>
      <c r="G44" s="93">
        <v>560</v>
      </c>
      <c r="H44" s="94">
        <f>102</f>
        <v>102</v>
      </c>
      <c r="I44" s="95">
        <f t="shared" si="10"/>
        <v>57120</v>
      </c>
      <c r="J44" s="95">
        <f>I44*10%</f>
        <v>5712</v>
      </c>
      <c r="K44" s="95">
        <f t="shared" si="11"/>
        <v>11424</v>
      </c>
      <c r="L44" s="95">
        <f t="shared" si="12"/>
        <v>45696</v>
      </c>
    </row>
    <row r="45" spans="1:13">
      <c r="A45">
        <v>53</v>
      </c>
      <c r="B45" s="92">
        <v>45583</v>
      </c>
      <c r="C45" s="93" t="s">
        <v>400</v>
      </c>
      <c r="D45" s="93" t="s">
        <v>8</v>
      </c>
      <c r="E45" s="93">
        <v>482</v>
      </c>
      <c r="F45" s="94">
        <f>1800+7250</f>
        <v>9050</v>
      </c>
      <c r="G45" s="93">
        <v>450</v>
      </c>
      <c r="H45" s="94">
        <f>180+24</f>
        <v>204</v>
      </c>
      <c r="I45" s="95">
        <f t="shared" si="10"/>
        <v>91800</v>
      </c>
      <c r="J45" s="95">
        <f>I45*10%</f>
        <v>9180</v>
      </c>
      <c r="K45" s="95">
        <f t="shared" si="11"/>
        <v>18360</v>
      </c>
      <c r="L45" s="95">
        <f t="shared" si="12"/>
        <v>73440</v>
      </c>
    </row>
    <row r="46" spans="1:13">
      <c r="A46">
        <v>54</v>
      </c>
      <c r="B46" s="92">
        <v>45584</v>
      </c>
      <c r="C46" s="93" t="s">
        <v>413</v>
      </c>
      <c r="D46" s="93" t="s">
        <v>8</v>
      </c>
      <c r="E46" s="93">
        <v>314</v>
      </c>
      <c r="F46" s="94">
        <f>8660+750</f>
        <v>9410</v>
      </c>
      <c r="G46" s="93">
        <v>249</v>
      </c>
      <c r="H46" s="94">
        <v>209.17</v>
      </c>
      <c r="I46" s="95">
        <f t="shared" si="10"/>
        <v>52083.329999999994</v>
      </c>
      <c r="J46" s="95"/>
      <c r="K46" s="95">
        <f t="shared" si="11"/>
        <v>10416.665999999999</v>
      </c>
      <c r="L46" s="95">
        <f t="shared" si="12"/>
        <v>41666.663999999997</v>
      </c>
    </row>
    <row r="47" spans="1:13">
      <c r="A47">
        <v>55</v>
      </c>
      <c r="B47" s="92">
        <v>45586</v>
      </c>
      <c r="C47" s="93" t="s">
        <v>392</v>
      </c>
      <c r="D47" s="93" t="s">
        <v>8</v>
      </c>
      <c r="E47" s="93">
        <v>523</v>
      </c>
      <c r="F47" s="94">
        <v>2500</v>
      </c>
      <c r="G47" s="93">
        <v>485</v>
      </c>
      <c r="H47" s="94">
        <v>70</v>
      </c>
      <c r="I47" s="95">
        <f t="shared" si="10"/>
        <v>33950</v>
      </c>
      <c r="J47" s="95"/>
      <c r="K47" s="95">
        <f t="shared" si="11"/>
        <v>6790</v>
      </c>
      <c r="L47" s="95">
        <f t="shared" si="12"/>
        <v>27160</v>
      </c>
    </row>
    <row r="48" spans="1:13">
      <c r="A48">
        <v>56</v>
      </c>
      <c r="B48" s="92">
        <v>45587</v>
      </c>
      <c r="C48" s="93" t="s">
        <v>393</v>
      </c>
      <c r="D48" s="93" t="s">
        <v>8</v>
      </c>
      <c r="E48" s="93">
        <v>520</v>
      </c>
      <c r="F48" s="94">
        <v>2530</v>
      </c>
      <c r="G48" s="93">
        <v>300</v>
      </c>
      <c r="H48" s="94">
        <v>36</v>
      </c>
      <c r="I48" s="95">
        <f t="shared" si="10"/>
        <v>10800</v>
      </c>
      <c r="J48" s="95"/>
      <c r="K48" s="95">
        <f t="shared" si="11"/>
        <v>2160</v>
      </c>
      <c r="L48" s="95">
        <f t="shared" si="12"/>
        <v>8640</v>
      </c>
    </row>
    <row r="49" spans="1:13">
      <c r="A49">
        <v>57</v>
      </c>
      <c r="B49" s="92">
        <v>45590</v>
      </c>
      <c r="C49" s="93" t="s">
        <v>394</v>
      </c>
      <c r="D49" s="93" t="s">
        <v>8</v>
      </c>
      <c r="E49" s="93">
        <v>503</v>
      </c>
      <c r="F49" s="94">
        <v>4690</v>
      </c>
      <c r="G49" s="93">
        <v>406</v>
      </c>
      <c r="H49" s="94">
        <v>93</v>
      </c>
      <c r="I49" s="95">
        <f t="shared" si="10"/>
        <v>37758</v>
      </c>
      <c r="J49" s="95"/>
      <c r="K49" s="95">
        <f t="shared" si="11"/>
        <v>7551.6</v>
      </c>
      <c r="L49" s="95">
        <f t="shared" si="12"/>
        <v>30206.400000000001</v>
      </c>
      <c r="M49" s="76">
        <f>SUM(L43:L49)</f>
        <v>253569.06399999998</v>
      </c>
    </row>
    <row r="50" spans="1:13">
      <c r="A50">
        <v>59</v>
      </c>
      <c r="B50" s="100">
        <v>45603</v>
      </c>
      <c r="C50" s="101" t="s">
        <v>428</v>
      </c>
      <c r="D50" s="101" t="s">
        <v>8</v>
      </c>
      <c r="E50" s="101">
        <v>533</v>
      </c>
      <c r="F50" s="102">
        <v>3040</v>
      </c>
      <c r="G50" s="101">
        <v>700</v>
      </c>
      <c r="H50" s="102">
        <v>89</v>
      </c>
      <c r="I50" s="103">
        <f t="shared" si="10"/>
        <v>62300</v>
      </c>
      <c r="J50" s="103">
        <v>1</v>
      </c>
      <c r="K50" s="103">
        <f t="shared" si="11"/>
        <v>12460</v>
      </c>
      <c r="L50" s="103">
        <f t="shared" si="12"/>
        <v>49840</v>
      </c>
    </row>
    <row r="51" spans="1:13">
      <c r="A51">
        <v>60</v>
      </c>
      <c r="B51" s="100">
        <v>45604</v>
      </c>
      <c r="C51" s="101" t="s">
        <v>158</v>
      </c>
      <c r="D51" s="101" t="s">
        <v>8</v>
      </c>
      <c r="E51" s="101">
        <v>534</v>
      </c>
      <c r="F51" s="102">
        <v>1180</v>
      </c>
      <c r="G51" s="101">
        <v>390</v>
      </c>
      <c r="H51" s="102">
        <v>71.900000000000006</v>
      </c>
      <c r="I51" s="103">
        <f t="shared" si="10"/>
        <v>28041.000000000004</v>
      </c>
      <c r="J51" s="103"/>
      <c r="K51" s="103">
        <f t="shared" si="11"/>
        <v>5608.2000000000007</v>
      </c>
      <c r="L51" s="103">
        <f t="shared" si="12"/>
        <v>22432.800000000003</v>
      </c>
    </row>
    <row r="52" spans="1:13">
      <c r="A52">
        <v>61</v>
      </c>
      <c r="B52" s="100">
        <v>45605</v>
      </c>
      <c r="C52" s="101" t="s">
        <v>378</v>
      </c>
      <c r="D52" s="101" t="s">
        <v>8</v>
      </c>
      <c r="E52" s="101">
        <v>535</v>
      </c>
      <c r="F52" s="102">
        <v>8850</v>
      </c>
      <c r="G52" s="101">
        <v>720</v>
      </c>
      <c r="H52" s="102">
        <f>99</f>
        <v>99</v>
      </c>
      <c r="I52" s="103">
        <f t="shared" si="10"/>
        <v>71280</v>
      </c>
      <c r="J52" s="103"/>
      <c r="K52" s="103">
        <f t="shared" si="11"/>
        <v>14256</v>
      </c>
      <c r="L52" s="103">
        <f t="shared" si="12"/>
        <v>57024</v>
      </c>
    </row>
    <row r="53" spans="1:13">
      <c r="A53">
        <v>62</v>
      </c>
      <c r="B53" s="100">
        <v>45612</v>
      </c>
      <c r="C53" s="101" t="s">
        <v>424</v>
      </c>
      <c r="D53" s="101" t="s">
        <v>399</v>
      </c>
      <c r="E53" s="101">
        <v>542</v>
      </c>
      <c r="F53" s="102">
        <v>3735.63</v>
      </c>
      <c r="G53" s="101">
        <v>508</v>
      </c>
      <c r="H53" s="339">
        <f>29.9-8</f>
        <v>21.9</v>
      </c>
      <c r="I53" s="103">
        <f t="shared" si="10"/>
        <v>11125.199999999999</v>
      </c>
      <c r="J53" s="103">
        <f>I53*10%</f>
        <v>1112.52</v>
      </c>
      <c r="K53" s="103">
        <f t="shared" si="11"/>
        <v>2225.04</v>
      </c>
      <c r="L53" s="103">
        <f>I53-K53-J53</f>
        <v>7787.6399999999994</v>
      </c>
    </row>
    <row r="54" spans="1:13">
      <c r="A54">
        <v>63</v>
      </c>
      <c r="B54" s="100">
        <v>45614</v>
      </c>
      <c r="C54" s="101" t="s">
        <v>423</v>
      </c>
      <c r="D54" s="101" t="s">
        <v>399</v>
      </c>
      <c r="E54" s="101">
        <v>541</v>
      </c>
      <c r="F54" s="102">
        <v>0</v>
      </c>
      <c r="G54" s="101">
        <v>607</v>
      </c>
      <c r="H54" s="102">
        <v>70</v>
      </c>
      <c r="I54" s="103">
        <f t="shared" si="10"/>
        <v>42490</v>
      </c>
      <c r="J54" s="103"/>
      <c r="K54" s="103">
        <f t="shared" si="11"/>
        <v>8498</v>
      </c>
      <c r="L54" s="103">
        <f t="shared" si="12"/>
        <v>33992</v>
      </c>
    </row>
    <row r="55" spans="1:13">
      <c r="A55">
        <v>64</v>
      </c>
      <c r="B55" s="100">
        <v>45620</v>
      </c>
      <c r="C55" s="101" t="s">
        <v>326</v>
      </c>
      <c r="D55" s="101" t="s">
        <v>8</v>
      </c>
      <c r="E55" s="101">
        <v>528</v>
      </c>
      <c r="F55" s="102">
        <v>4350</v>
      </c>
      <c r="G55" s="101">
        <v>1000</v>
      </c>
      <c r="H55" s="102"/>
      <c r="I55" s="103">
        <f t="shared" si="10"/>
        <v>0</v>
      </c>
      <c r="J55" s="103"/>
      <c r="K55" s="103">
        <f t="shared" si="11"/>
        <v>0</v>
      </c>
      <c r="L55" s="103">
        <f t="shared" si="12"/>
        <v>0</v>
      </c>
    </row>
    <row r="56" spans="1:13">
      <c r="A56">
        <v>66</v>
      </c>
      <c r="B56" s="100">
        <v>45625</v>
      </c>
      <c r="C56" s="101" t="s">
        <v>365</v>
      </c>
      <c r="D56" s="101" t="s">
        <v>8</v>
      </c>
      <c r="E56" s="101">
        <v>414</v>
      </c>
      <c r="F56" s="102">
        <v>2800</v>
      </c>
      <c r="G56" s="101">
        <v>300</v>
      </c>
      <c r="H56" s="102">
        <f>99</f>
        <v>99</v>
      </c>
      <c r="I56" s="103">
        <f t="shared" si="10"/>
        <v>29700</v>
      </c>
      <c r="J56" s="103"/>
      <c r="K56" s="103">
        <f t="shared" si="11"/>
        <v>5940</v>
      </c>
      <c r="L56" s="103">
        <f t="shared" si="12"/>
        <v>23760</v>
      </c>
    </row>
    <row r="57" spans="1:13">
      <c r="A57">
        <v>67</v>
      </c>
      <c r="B57" s="100">
        <v>45626</v>
      </c>
      <c r="C57" s="101" t="s">
        <v>368</v>
      </c>
      <c r="D57" s="101" t="s">
        <v>8</v>
      </c>
      <c r="E57" s="101">
        <v>553</v>
      </c>
      <c r="F57" s="102"/>
      <c r="G57" s="101">
        <v>1443</v>
      </c>
      <c r="H57" s="102">
        <v>150</v>
      </c>
      <c r="I57" s="103">
        <f t="shared" si="10"/>
        <v>216450</v>
      </c>
      <c r="J57" s="103"/>
      <c r="K57" s="103">
        <f t="shared" si="11"/>
        <v>43290</v>
      </c>
      <c r="L57" s="103">
        <f t="shared" si="12"/>
        <v>173160</v>
      </c>
      <c r="M57" s="76">
        <f>SUM(L50:L57)</f>
        <v>367996.44</v>
      </c>
    </row>
    <row r="58" spans="1:13">
      <c r="A58">
        <v>69</v>
      </c>
      <c r="B58" s="104">
        <v>45635</v>
      </c>
      <c r="C58" s="105" t="s">
        <v>392</v>
      </c>
      <c r="D58" s="105" t="s">
        <v>8</v>
      </c>
      <c r="E58" s="105">
        <v>554</v>
      </c>
      <c r="F58" s="106">
        <v>0</v>
      </c>
      <c r="G58" s="105">
        <v>630</v>
      </c>
      <c r="H58" s="106">
        <v>70</v>
      </c>
      <c r="I58" s="107">
        <f t="shared" si="10"/>
        <v>44100</v>
      </c>
      <c r="J58" s="107"/>
      <c r="K58" s="107">
        <f t="shared" si="11"/>
        <v>8820</v>
      </c>
      <c r="L58" s="107">
        <f t="shared" si="12"/>
        <v>35280</v>
      </c>
    </row>
    <row r="59" spans="1:13">
      <c r="A59">
        <v>70</v>
      </c>
      <c r="B59" s="104">
        <v>45636</v>
      </c>
      <c r="C59" s="105" t="s">
        <v>583</v>
      </c>
      <c r="D59" s="105" t="s">
        <v>8</v>
      </c>
      <c r="E59" s="105">
        <v>514</v>
      </c>
      <c r="F59" s="106"/>
      <c r="G59" s="105">
        <f>250+25</f>
        <v>275</v>
      </c>
      <c r="H59" s="106">
        <v>110</v>
      </c>
      <c r="I59" s="107">
        <f>G59*H59+(72*H59/2)</f>
        <v>34210</v>
      </c>
      <c r="J59" s="107">
        <f>I59*10%</f>
        <v>3421</v>
      </c>
      <c r="K59" s="107">
        <f t="shared" si="11"/>
        <v>6842</v>
      </c>
      <c r="L59" s="107">
        <f>I59-K59-J59</f>
        <v>23947</v>
      </c>
    </row>
    <row r="60" spans="1:13">
      <c r="A60">
        <v>71</v>
      </c>
      <c r="B60" s="104">
        <v>45643</v>
      </c>
      <c r="C60" s="105" t="s">
        <v>582</v>
      </c>
      <c r="D60" s="105" t="s">
        <v>8</v>
      </c>
      <c r="E60" s="105">
        <v>480</v>
      </c>
      <c r="F60" s="106"/>
      <c r="G60" s="105">
        <v>500</v>
      </c>
      <c r="H60" s="106">
        <v>99</v>
      </c>
      <c r="I60" s="107">
        <f t="shared" ref="I60:I70" si="13">G60*H60</f>
        <v>49500</v>
      </c>
      <c r="J60" s="107">
        <f>I60*10%</f>
        <v>4950</v>
      </c>
      <c r="K60" s="107">
        <f t="shared" si="11"/>
        <v>9900</v>
      </c>
      <c r="L60" s="107">
        <f>I60-K60-J60</f>
        <v>34650</v>
      </c>
    </row>
    <row r="61" spans="1:13">
      <c r="A61">
        <v>72</v>
      </c>
      <c r="B61" s="104">
        <v>45637</v>
      </c>
      <c r="C61" s="105" t="s">
        <v>359</v>
      </c>
      <c r="D61" s="105" t="s">
        <v>8</v>
      </c>
      <c r="E61" s="105">
        <v>415</v>
      </c>
      <c r="F61" s="106">
        <v>3260</v>
      </c>
      <c r="G61" s="105">
        <v>300</v>
      </c>
      <c r="H61" s="106">
        <v>99</v>
      </c>
      <c r="I61" s="107">
        <f t="shared" si="13"/>
        <v>29700</v>
      </c>
      <c r="J61" s="107"/>
      <c r="K61" s="107">
        <f t="shared" si="11"/>
        <v>5940</v>
      </c>
      <c r="L61" s="107">
        <f t="shared" si="12"/>
        <v>23760</v>
      </c>
    </row>
    <row r="62" spans="1:13">
      <c r="A62">
        <v>73</v>
      </c>
      <c r="B62" s="104">
        <v>45638</v>
      </c>
      <c r="C62" s="105" t="s">
        <v>342</v>
      </c>
      <c r="D62" s="105" t="s">
        <v>8</v>
      </c>
      <c r="E62" s="105">
        <v>545</v>
      </c>
      <c r="F62" s="106">
        <f>6500</f>
        <v>6500</v>
      </c>
      <c r="G62" s="105">
        <v>480</v>
      </c>
      <c r="H62" s="106">
        <f>105</f>
        <v>105</v>
      </c>
      <c r="I62" s="107">
        <f t="shared" si="13"/>
        <v>50400</v>
      </c>
      <c r="J62" s="107"/>
      <c r="K62" s="107">
        <f t="shared" si="11"/>
        <v>10080</v>
      </c>
      <c r="L62" s="107">
        <f t="shared" si="12"/>
        <v>40320</v>
      </c>
    </row>
    <row r="63" spans="1:13">
      <c r="A63">
        <v>74</v>
      </c>
      <c r="B63" s="104">
        <v>45640</v>
      </c>
      <c r="C63" s="105" t="s">
        <v>354</v>
      </c>
      <c r="D63" s="105" t="s">
        <v>8</v>
      </c>
      <c r="E63" s="105">
        <v>471</v>
      </c>
      <c r="F63" s="106"/>
      <c r="G63" s="105">
        <v>1000</v>
      </c>
      <c r="H63" s="106">
        <f>45+90</f>
        <v>135</v>
      </c>
      <c r="I63" s="107">
        <f t="shared" si="13"/>
        <v>135000</v>
      </c>
      <c r="J63" s="107"/>
      <c r="K63" s="107">
        <f t="shared" si="11"/>
        <v>27000</v>
      </c>
      <c r="L63" s="107">
        <f t="shared" si="12"/>
        <v>108000</v>
      </c>
    </row>
    <row r="64" spans="1:13">
      <c r="A64">
        <v>75</v>
      </c>
      <c r="B64" s="104">
        <v>45641</v>
      </c>
      <c r="C64" s="105" t="s">
        <v>434</v>
      </c>
      <c r="D64" s="105" t="s">
        <v>8</v>
      </c>
      <c r="E64" s="105">
        <v>422</v>
      </c>
      <c r="F64" s="106">
        <v>0</v>
      </c>
      <c r="G64" s="105">
        <v>402</v>
      </c>
      <c r="H64" s="106">
        <v>99</v>
      </c>
      <c r="I64" s="107">
        <f t="shared" si="13"/>
        <v>39798</v>
      </c>
      <c r="J64" s="107">
        <f>I64*10%</f>
        <v>3979.8</v>
      </c>
      <c r="K64" s="107">
        <f t="shared" si="11"/>
        <v>7959.6</v>
      </c>
      <c r="L64" s="107">
        <f>I64-K64-J64</f>
        <v>27858.600000000002</v>
      </c>
    </row>
    <row r="65" spans="1:13">
      <c r="A65">
        <v>76</v>
      </c>
      <c r="B65" s="104">
        <v>45647</v>
      </c>
      <c r="C65" s="105" t="s">
        <v>435</v>
      </c>
      <c r="D65" s="105" t="s">
        <v>8</v>
      </c>
      <c r="E65" s="105">
        <v>515</v>
      </c>
      <c r="F65" s="106">
        <v>4750</v>
      </c>
      <c r="G65" s="105">
        <v>500</v>
      </c>
      <c r="H65" s="106">
        <v>99</v>
      </c>
      <c r="I65" s="107">
        <f t="shared" si="13"/>
        <v>49500</v>
      </c>
      <c r="J65" s="107"/>
      <c r="K65" s="107">
        <f t="shared" si="11"/>
        <v>9900</v>
      </c>
      <c r="L65" s="107">
        <f t="shared" si="12"/>
        <v>39600</v>
      </c>
    </row>
    <row r="66" spans="1:13">
      <c r="A66">
        <v>77</v>
      </c>
      <c r="B66" s="104">
        <v>45654</v>
      </c>
      <c r="C66" s="105" t="s">
        <v>433</v>
      </c>
      <c r="D66" s="105" t="s">
        <v>8</v>
      </c>
      <c r="E66" s="105">
        <v>418</v>
      </c>
      <c r="F66" s="106">
        <v>0</v>
      </c>
      <c r="G66" s="105">
        <v>663</v>
      </c>
      <c r="H66" s="106">
        <v>99</v>
      </c>
      <c r="I66" s="107">
        <f>G66*H66</f>
        <v>65637</v>
      </c>
      <c r="J66" s="107">
        <f t="shared" ref="J66:J70" si="14">I66*10%</f>
        <v>6563.7000000000007</v>
      </c>
      <c r="K66" s="107">
        <f t="shared" si="11"/>
        <v>13127.400000000001</v>
      </c>
      <c r="L66" s="107">
        <f>I66-K66-J66</f>
        <v>45945.899999999994</v>
      </c>
      <c r="M66" s="76">
        <f>SUM(L58:L66)</f>
        <v>379361.5</v>
      </c>
    </row>
    <row r="67" spans="1:13">
      <c r="A67">
        <v>78</v>
      </c>
      <c r="B67" s="82"/>
      <c r="C67" s="82"/>
      <c r="D67" s="82"/>
      <c r="E67" s="82"/>
      <c r="F67" s="83"/>
      <c r="G67" s="82"/>
      <c r="H67" s="83"/>
      <c r="I67" s="84">
        <f t="shared" si="13"/>
        <v>0</v>
      </c>
      <c r="J67" s="81">
        <f t="shared" si="14"/>
        <v>0</v>
      </c>
      <c r="K67" s="84">
        <f t="shared" si="11"/>
        <v>0</v>
      </c>
      <c r="L67" s="84">
        <f t="shared" si="12"/>
        <v>0</v>
      </c>
    </row>
    <row r="68" spans="1:13">
      <c r="A68">
        <v>79</v>
      </c>
      <c r="B68" s="82"/>
      <c r="C68" s="82"/>
      <c r="D68" s="82"/>
      <c r="E68" s="82"/>
      <c r="F68" s="83"/>
      <c r="G68" s="82"/>
      <c r="H68" s="83"/>
      <c r="I68" s="84">
        <f t="shared" si="13"/>
        <v>0</v>
      </c>
      <c r="J68" s="81">
        <f t="shared" si="14"/>
        <v>0</v>
      </c>
      <c r="K68" s="84">
        <f t="shared" si="11"/>
        <v>0</v>
      </c>
      <c r="L68" s="84">
        <f t="shared" si="12"/>
        <v>0</v>
      </c>
    </row>
    <row r="69" spans="1:13">
      <c r="A69">
        <v>80</v>
      </c>
      <c r="B69" s="82"/>
      <c r="C69" s="82"/>
      <c r="D69" s="82"/>
      <c r="E69" s="82"/>
      <c r="F69" s="83"/>
      <c r="G69" s="82"/>
      <c r="H69" s="83"/>
      <c r="I69" s="84">
        <f t="shared" si="13"/>
        <v>0</v>
      </c>
      <c r="J69" s="81">
        <f t="shared" si="14"/>
        <v>0</v>
      </c>
      <c r="K69" s="84">
        <f t="shared" si="11"/>
        <v>0</v>
      </c>
      <c r="L69" s="84">
        <f t="shared" si="12"/>
        <v>0</v>
      </c>
      <c r="M69" s="76">
        <f>SUM(M66,M57,M49,M42,M34,M28,M25,M21,M18,M11)</f>
        <v>2128417.1239999994</v>
      </c>
    </row>
    <row r="70" spans="1:13">
      <c r="B70" s="82"/>
      <c r="C70" s="82"/>
      <c r="D70" s="82"/>
      <c r="E70" s="82"/>
      <c r="F70" s="83"/>
      <c r="G70" s="82"/>
      <c r="H70" s="83"/>
      <c r="I70" s="84">
        <f t="shared" si="13"/>
        <v>0</v>
      </c>
      <c r="J70" s="81">
        <f t="shared" si="14"/>
        <v>0</v>
      </c>
      <c r="K70" s="84">
        <f t="shared" si="11"/>
        <v>0</v>
      </c>
      <c r="L70" s="84">
        <f t="shared" si="12"/>
        <v>0</v>
      </c>
    </row>
  </sheetData>
  <mergeCells count="2">
    <mergeCell ref="B1:L1"/>
    <mergeCell ref="B2:L2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49"/>
  <sheetViews>
    <sheetView tabSelected="1" zoomScale="64" zoomScaleNormal="64" workbookViewId="0">
      <pane ySplit="1" topLeftCell="A107" activePane="bottomLeft" state="frozen"/>
      <selection activeCell="AR1" sqref="AR1"/>
      <selection pane="bottomLeft" activeCell="I136" sqref="I136"/>
    </sheetView>
  </sheetViews>
  <sheetFormatPr defaultRowHeight="15"/>
  <cols>
    <col min="1" max="1" width="7" customWidth="1"/>
    <col min="2" max="2" width="20.5703125" customWidth="1"/>
    <col min="3" max="3" width="47.28515625" customWidth="1"/>
    <col min="4" max="4" width="21.7109375" customWidth="1"/>
    <col min="5" max="5" width="14.5703125" customWidth="1"/>
    <col min="6" max="6" width="21.85546875" customWidth="1"/>
    <col min="9" max="9" width="15.7109375" customWidth="1"/>
    <col min="10" max="10" width="1.42578125" style="8" customWidth="1"/>
    <col min="11" max="11" width="9.42578125" customWidth="1"/>
    <col min="12" max="12" width="12.42578125" customWidth="1"/>
    <col min="17" max="17" width="13.28515625" customWidth="1"/>
    <col min="18" max="18" width="14.140625" customWidth="1"/>
    <col min="19" max="19" width="17.7109375" customWidth="1"/>
    <col min="20" max="20" width="12.140625" bestFit="1" customWidth="1"/>
    <col min="21" max="21" width="14.42578125" bestFit="1" customWidth="1"/>
    <col min="22" max="22" width="9.28515625" bestFit="1" customWidth="1"/>
    <col min="23" max="23" width="13.7109375" bestFit="1" customWidth="1"/>
    <col min="24" max="26" width="9.28515625" bestFit="1" customWidth="1"/>
    <col min="27" max="27" width="10.5703125" bestFit="1" customWidth="1"/>
    <col min="31" max="31" width="9.5703125" bestFit="1" customWidth="1"/>
    <col min="32" max="32" width="14.5703125" customWidth="1"/>
    <col min="35" max="35" width="12.140625" bestFit="1" customWidth="1"/>
    <col min="36" max="36" width="13.5703125" customWidth="1"/>
    <col min="37" max="37" width="17.5703125" customWidth="1"/>
    <col min="38" max="38" width="20.42578125" customWidth="1"/>
    <col min="39" max="39" width="20.5703125" customWidth="1"/>
    <col min="41" max="41" width="16" customWidth="1"/>
    <col min="43" max="43" width="13.28515625" bestFit="1" customWidth="1"/>
    <col min="44" max="44" width="12.140625" bestFit="1" customWidth="1"/>
    <col min="45" max="45" width="15.140625" bestFit="1" customWidth="1"/>
    <col min="46" max="46" width="13.28515625" bestFit="1" customWidth="1"/>
    <col min="48" max="48" width="2.28515625" customWidth="1"/>
  </cols>
  <sheetData>
    <row r="1" spans="1:52">
      <c r="A1" s="57" t="s">
        <v>143</v>
      </c>
      <c r="B1" s="132" t="s">
        <v>0</v>
      </c>
      <c r="C1" s="58" t="s">
        <v>122</v>
      </c>
      <c r="D1" s="58" t="s">
        <v>12</v>
      </c>
      <c r="E1" s="58" t="s">
        <v>150</v>
      </c>
      <c r="F1" s="58" t="s">
        <v>17</v>
      </c>
      <c r="G1" s="58" t="s">
        <v>1</v>
      </c>
      <c r="H1" s="58" t="s">
        <v>2</v>
      </c>
      <c r="I1" s="58" t="s">
        <v>3</v>
      </c>
      <c r="K1" s="5" t="s">
        <v>80</v>
      </c>
      <c r="L1" s="5" t="s">
        <v>142</v>
      </c>
      <c r="M1" s="9" t="s">
        <v>81</v>
      </c>
      <c r="N1" s="9" t="s">
        <v>21</v>
      </c>
      <c r="O1" s="9" t="s">
        <v>114</v>
      </c>
      <c r="P1" s="9" t="s">
        <v>18</v>
      </c>
      <c r="Q1" s="6" t="s">
        <v>117</v>
      </c>
      <c r="R1" s="6" t="s">
        <v>86</v>
      </c>
      <c r="S1" s="6" t="s">
        <v>106</v>
      </c>
      <c r="T1" s="14" t="s">
        <v>85</v>
      </c>
      <c r="U1" s="10" t="s">
        <v>82</v>
      </c>
      <c r="V1" s="10" t="s">
        <v>83</v>
      </c>
      <c r="W1" s="10" t="s">
        <v>239</v>
      </c>
      <c r="X1" s="10" t="s">
        <v>84</v>
      </c>
      <c r="Y1" s="10" t="s">
        <v>108</v>
      </c>
      <c r="Z1" s="10" t="s">
        <v>21</v>
      </c>
      <c r="AA1" s="10" t="s">
        <v>180</v>
      </c>
      <c r="AB1" s="10" t="s">
        <v>121</v>
      </c>
      <c r="AC1" s="10" t="s">
        <v>206</v>
      </c>
      <c r="AD1" s="13" t="s">
        <v>111</v>
      </c>
      <c r="AE1" s="10" t="s">
        <v>110</v>
      </c>
      <c r="AF1" s="10" t="s">
        <v>112</v>
      </c>
      <c r="AG1" s="10" t="s">
        <v>90</v>
      </c>
      <c r="AH1" s="10" t="s">
        <v>91</v>
      </c>
      <c r="AI1" s="10" t="s">
        <v>89</v>
      </c>
      <c r="AJ1" s="11" t="s">
        <v>118</v>
      </c>
      <c r="AK1" s="11" t="s">
        <v>88</v>
      </c>
      <c r="AL1" s="11" t="s">
        <v>169</v>
      </c>
      <c r="AM1" s="11" t="s">
        <v>181</v>
      </c>
      <c r="AN1" s="13" t="s">
        <v>135</v>
      </c>
      <c r="AO1" s="16" t="s">
        <v>94</v>
      </c>
      <c r="AP1" s="16" t="s">
        <v>93</v>
      </c>
      <c r="AQ1" s="16" t="s">
        <v>95</v>
      </c>
      <c r="AR1" s="16" t="s">
        <v>97</v>
      </c>
      <c r="AS1" s="16" t="s">
        <v>96</v>
      </c>
      <c r="AT1" s="16" t="s">
        <v>98</v>
      </c>
      <c r="AU1" s="16"/>
      <c r="AW1" s="7" t="s">
        <v>101</v>
      </c>
      <c r="AX1" s="17" t="s">
        <v>102</v>
      </c>
      <c r="AY1" s="17" t="s">
        <v>7</v>
      </c>
      <c r="AZ1" s="17" t="s">
        <v>103</v>
      </c>
    </row>
    <row r="2" spans="1:52">
      <c r="A2" s="30"/>
      <c r="B2" s="3"/>
      <c r="C2" s="2" t="s">
        <v>165</v>
      </c>
      <c r="D2" s="3"/>
      <c r="E2" s="3"/>
      <c r="F2" s="3"/>
      <c r="G2" s="3"/>
      <c r="H2" s="3"/>
      <c r="I2" s="3"/>
      <c r="J2" s="4"/>
      <c r="K2" s="21"/>
      <c r="L2" s="21"/>
      <c r="M2" s="21"/>
      <c r="N2" s="21"/>
      <c r="O2" s="21"/>
      <c r="P2" s="21"/>
      <c r="Q2" s="21">
        <f t="shared" ref="Q2:Q65" si="0">K2+L2</f>
        <v>0</v>
      </c>
      <c r="R2" s="22">
        <f>K2+L2*T2</f>
        <v>0</v>
      </c>
      <c r="S2" s="45">
        <f>R2+P2+O2+N2+M2</f>
        <v>0</v>
      </c>
      <c r="T2" s="32"/>
      <c r="U2" s="21"/>
      <c r="V2" s="21"/>
      <c r="W2" s="21"/>
      <c r="X2" s="21"/>
      <c r="Y2" s="21"/>
      <c r="Z2" s="21"/>
      <c r="AA2" s="21"/>
      <c r="AB2" s="21"/>
      <c r="AC2" s="21"/>
      <c r="AD2" s="4"/>
      <c r="AE2" s="21"/>
      <c r="AF2" s="21"/>
      <c r="AG2" s="21"/>
      <c r="AH2" s="21"/>
      <c r="AI2" s="21"/>
      <c r="AJ2" s="21"/>
      <c r="AK2" s="23"/>
      <c r="AL2" s="23"/>
      <c r="AM2" s="23">
        <f t="shared" ref="AM2:AM15" si="1">S2+AL2</f>
        <v>0</v>
      </c>
      <c r="AN2" s="32"/>
      <c r="AO2" s="24">
        <v>0</v>
      </c>
      <c r="AP2" s="4">
        <v>0</v>
      </c>
      <c r="AQ2" s="4">
        <v>0</v>
      </c>
      <c r="AR2" s="24">
        <v>0</v>
      </c>
      <c r="AS2" s="4">
        <v>0</v>
      </c>
      <c r="AT2" s="24"/>
      <c r="AU2" s="24"/>
      <c r="AV2" s="4"/>
      <c r="AW2" s="4">
        <v>20</v>
      </c>
      <c r="AX2" s="4"/>
      <c r="AY2" s="4"/>
      <c r="AZ2" s="4"/>
    </row>
    <row r="3" spans="1:52">
      <c r="A3" s="4">
        <v>1</v>
      </c>
      <c r="B3" s="135">
        <v>45602</v>
      </c>
      <c r="C3" s="136" t="s">
        <v>166</v>
      </c>
      <c r="D3" s="136" t="s">
        <v>36</v>
      </c>
      <c r="E3" s="136" t="s">
        <v>151</v>
      </c>
      <c r="F3" s="136" t="s">
        <v>167</v>
      </c>
      <c r="G3" s="136" t="s">
        <v>168</v>
      </c>
      <c r="H3" s="136">
        <v>532</v>
      </c>
      <c r="I3" s="136" t="s">
        <v>36</v>
      </c>
      <c r="J3" s="4"/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f t="shared" si="0"/>
        <v>0</v>
      </c>
      <c r="R3" s="22">
        <f t="shared" ref="R3:R11" si="2">K3+L3*T3</f>
        <v>0</v>
      </c>
      <c r="S3" s="45">
        <f t="shared" ref="S3:S6" si="3">R3+P3+O3+N3+M3</f>
        <v>0</v>
      </c>
      <c r="T3" s="32">
        <v>100</v>
      </c>
      <c r="U3" s="21">
        <v>29.9</v>
      </c>
      <c r="V3" s="21">
        <v>0</v>
      </c>
      <c r="W3" s="21">
        <v>1000</v>
      </c>
      <c r="X3" s="21">
        <v>0</v>
      </c>
      <c r="Y3" s="21">
        <v>0</v>
      </c>
      <c r="Z3" s="21">
        <v>0</v>
      </c>
      <c r="AA3" s="21"/>
      <c r="AB3" s="21">
        <v>0</v>
      </c>
      <c r="AC3" s="21"/>
      <c r="AD3" s="4">
        <v>0</v>
      </c>
      <c r="AE3" s="21">
        <v>0</v>
      </c>
      <c r="AF3" s="21">
        <v>0</v>
      </c>
      <c r="AG3" s="21">
        <v>0</v>
      </c>
      <c r="AH3" s="21">
        <v>0</v>
      </c>
      <c r="AI3" s="21">
        <v>567.21</v>
      </c>
      <c r="AJ3" s="21">
        <f>U3+V3</f>
        <v>29.9</v>
      </c>
      <c r="AK3" s="23">
        <f>(U3*T3)</f>
        <v>2990</v>
      </c>
      <c r="AL3" s="23">
        <f>AK3+W3+X3+Y3+Z3+AA3+AB3+AF3+AG3+AH3+AI3</f>
        <v>4557.21</v>
      </c>
      <c r="AM3" s="23">
        <f t="shared" si="1"/>
        <v>4557.21</v>
      </c>
      <c r="AN3" s="32">
        <v>100</v>
      </c>
      <c r="AO3" s="24">
        <v>0</v>
      </c>
      <c r="AP3" s="4">
        <v>0</v>
      </c>
      <c r="AQ3" s="4">
        <v>0</v>
      </c>
      <c r="AR3" s="24">
        <v>0</v>
      </c>
      <c r="AS3" s="4">
        <v>0</v>
      </c>
      <c r="AT3" s="24">
        <f>(AJ3*T3 )*0.1</f>
        <v>299</v>
      </c>
      <c r="AU3" s="4"/>
      <c r="AV3" s="4"/>
      <c r="AW3" s="4"/>
      <c r="AX3" s="4"/>
      <c r="AY3" s="4"/>
      <c r="AZ3" s="4"/>
    </row>
    <row r="4" spans="1:52" s="56" customFormat="1">
      <c r="A4" s="49">
        <v>2</v>
      </c>
      <c r="B4" s="137">
        <v>45590</v>
      </c>
      <c r="C4" s="138" t="s">
        <v>170</v>
      </c>
      <c r="D4" s="138" t="s">
        <v>20</v>
      </c>
      <c r="E4" s="138" t="s">
        <v>152</v>
      </c>
      <c r="F4" s="138" t="s">
        <v>171</v>
      </c>
      <c r="G4" s="136" t="s">
        <v>168</v>
      </c>
      <c r="H4" s="138">
        <v>527</v>
      </c>
      <c r="I4" s="138"/>
      <c r="J4" s="49"/>
      <c r="K4" s="50">
        <v>0</v>
      </c>
      <c r="L4" s="50"/>
      <c r="M4" s="50"/>
      <c r="N4" s="50"/>
      <c r="O4" s="50"/>
      <c r="P4" s="50"/>
      <c r="Q4" s="21">
        <f t="shared" si="0"/>
        <v>0</v>
      </c>
      <c r="R4" s="22">
        <f t="shared" si="2"/>
        <v>0</v>
      </c>
      <c r="S4" s="45">
        <f t="shared" si="3"/>
        <v>0</v>
      </c>
      <c r="T4" s="53">
        <v>30</v>
      </c>
      <c r="U4" s="50">
        <v>129.4</v>
      </c>
      <c r="V4" s="50">
        <v>0</v>
      </c>
      <c r="W4" s="50">
        <v>0</v>
      </c>
      <c r="X4" s="50">
        <v>0</v>
      </c>
      <c r="Y4" s="50">
        <v>0</v>
      </c>
      <c r="Z4" s="50">
        <v>0</v>
      </c>
      <c r="AA4" s="50"/>
      <c r="AB4" s="50">
        <v>0</v>
      </c>
      <c r="AC4" s="50"/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/>
      <c r="AJ4" s="21">
        <f t="shared" ref="AJ4:AJ66" si="4">U4+V4</f>
        <v>129.4</v>
      </c>
      <c r="AK4" s="23">
        <f t="shared" ref="AK4:AK18" si="5">(U4*T4)</f>
        <v>3882</v>
      </c>
      <c r="AL4" s="23">
        <f>W4+AK4+R4+S4+AI4+AH4+AG4+AF4+AE4+AD4+AB4+Z4+Y4+X4+AA4</f>
        <v>3882</v>
      </c>
      <c r="AM4" s="23">
        <f t="shared" si="1"/>
        <v>3882</v>
      </c>
      <c r="AN4" s="53">
        <f t="shared" ref="AN4:AN66" si="6">AD4+T4</f>
        <v>30</v>
      </c>
      <c r="AO4" s="55"/>
      <c r="AP4" s="49"/>
      <c r="AQ4" s="49"/>
      <c r="AR4" s="55"/>
      <c r="AS4" s="49"/>
      <c r="AT4" s="24">
        <f t="shared" ref="AT4:AT27" si="7">(AJ4*T4 )*0.1</f>
        <v>388.20000000000005</v>
      </c>
      <c r="AU4" s="49"/>
      <c r="AV4" s="49"/>
      <c r="AW4" s="49"/>
      <c r="AX4" s="49"/>
      <c r="AY4" s="49"/>
      <c r="AZ4" s="49"/>
    </row>
    <row r="5" spans="1:52">
      <c r="A5" s="4">
        <v>3</v>
      </c>
      <c r="B5" s="135">
        <v>45601</v>
      </c>
      <c r="C5" s="136" t="s">
        <v>172</v>
      </c>
      <c r="D5" s="136" t="s">
        <v>173</v>
      </c>
      <c r="E5" s="136" t="s">
        <v>152</v>
      </c>
      <c r="F5" s="136" t="s">
        <v>174</v>
      </c>
      <c r="G5" s="136" t="s">
        <v>168</v>
      </c>
      <c r="H5" s="136">
        <v>526</v>
      </c>
      <c r="I5" s="136" t="s">
        <v>175</v>
      </c>
      <c r="J5" s="4"/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f t="shared" si="0"/>
        <v>0</v>
      </c>
      <c r="R5" s="22">
        <f t="shared" si="2"/>
        <v>0</v>
      </c>
      <c r="S5" s="45">
        <f t="shared" si="3"/>
        <v>0</v>
      </c>
      <c r="T5" s="32">
        <f>58+49</f>
        <v>107</v>
      </c>
      <c r="U5" s="21">
        <v>117.75700000000001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/>
      <c r="AB5" s="21">
        <v>0</v>
      </c>
      <c r="AC5" s="21"/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f t="shared" si="4"/>
        <v>117.75700000000001</v>
      </c>
      <c r="AK5" s="23">
        <f t="shared" si="5"/>
        <v>12599.999</v>
      </c>
      <c r="AL5" s="23">
        <f>W5+AK5+R5+S5+AI5+AH5+AG5+AF5+AE5+AD5+AB5+Z5+Y5+X5+AA5</f>
        <v>12599.999</v>
      </c>
      <c r="AM5" s="23">
        <f t="shared" si="1"/>
        <v>12599.999</v>
      </c>
      <c r="AN5" s="32">
        <f t="shared" si="6"/>
        <v>107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4">
        <f t="shared" si="7"/>
        <v>1259.9999</v>
      </c>
      <c r="AU5" s="21"/>
      <c r="AV5" s="21"/>
      <c r="AW5" s="21"/>
      <c r="AX5" s="21"/>
      <c r="AY5" s="21"/>
      <c r="AZ5" s="21"/>
    </row>
    <row r="6" spans="1:52">
      <c r="A6" s="4">
        <v>4</v>
      </c>
      <c r="B6" s="137">
        <v>45591</v>
      </c>
      <c r="C6" s="138" t="s">
        <v>176</v>
      </c>
      <c r="D6" s="138" t="s">
        <v>173</v>
      </c>
      <c r="E6" s="138" t="s">
        <v>152</v>
      </c>
      <c r="F6" s="138" t="s">
        <v>177</v>
      </c>
      <c r="G6" s="136" t="s">
        <v>168</v>
      </c>
      <c r="H6" s="138">
        <v>529</v>
      </c>
      <c r="I6" s="138"/>
      <c r="J6" s="4"/>
      <c r="K6" s="21"/>
      <c r="L6" s="21"/>
      <c r="M6" s="21"/>
      <c r="N6" s="21"/>
      <c r="O6" s="21"/>
      <c r="P6" s="21"/>
      <c r="Q6" s="21">
        <f t="shared" si="0"/>
        <v>0</v>
      </c>
      <c r="R6" s="22">
        <f t="shared" si="2"/>
        <v>0</v>
      </c>
      <c r="S6" s="45">
        <f t="shared" si="3"/>
        <v>0</v>
      </c>
      <c r="T6" s="32">
        <v>1</v>
      </c>
      <c r="U6" s="21">
        <v>1000</v>
      </c>
      <c r="V6" s="21"/>
      <c r="W6" s="21"/>
      <c r="X6" s="21"/>
      <c r="Y6" s="21"/>
      <c r="Z6" s="21"/>
      <c r="AA6" s="21"/>
      <c r="AB6" s="21"/>
      <c r="AC6" s="21"/>
      <c r="AD6" s="4"/>
      <c r="AE6" s="21"/>
      <c r="AF6" s="21"/>
      <c r="AG6" s="21"/>
      <c r="AH6" s="21"/>
      <c r="AI6" s="21"/>
      <c r="AJ6" s="21">
        <f t="shared" si="4"/>
        <v>1000</v>
      </c>
      <c r="AK6" s="23">
        <f t="shared" si="5"/>
        <v>1000</v>
      </c>
      <c r="AL6" s="23">
        <f>W6+AK6+R6+S6+AI6+AH6+AG6+AF6+AE6+AD6+AB6+Z6+Y6+X6+AA6</f>
        <v>1000</v>
      </c>
      <c r="AM6" s="23">
        <f t="shared" si="1"/>
        <v>1000</v>
      </c>
      <c r="AN6" s="32">
        <f t="shared" si="6"/>
        <v>1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4">
        <f t="shared" si="7"/>
        <v>100</v>
      </c>
      <c r="AU6" s="21"/>
      <c r="AV6" s="21"/>
      <c r="AW6" s="21"/>
      <c r="AX6" s="21"/>
      <c r="AY6" s="21"/>
      <c r="AZ6" s="21"/>
    </row>
    <row r="7" spans="1:52">
      <c r="A7" s="4">
        <v>5</v>
      </c>
      <c r="B7" s="135">
        <v>45596</v>
      </c>
      <c r="C7" s="136" t="s">
        <v>178</v>
      </c>
      <c r="D7" s="136"/>
      <c r="E7" s="136" t="s">
        <v>151</v>
      </c>
      <c r="F7" s="136" t="s">
        <v>13</v>
      </c>
      <c r="G7" s="136" t="s">
        <v>168</v>
      </c>
      <c r="H7" s="136">
        <v>524</v>
      </c>
      <c r="I7" s="136" t="s">
        <v>179</v>
      </c>
      <c r="J7" s="4"/>
      <c r="K7" s="21">
        <v>0</v>
      </c>
      <c r="L7" s="30">
        <v>0</v>
      </c>
      <c r="M7" s="30">
        <v>0</v>
      </c>
      <c r="N7" s="30">
        <v>0</v>
      </c>
      <c r="O7" s="30">
        <v>0</v>
      </c>
      <c r="P7" s="30">
        <v>5245</v>
      </c>
      <c r="Q7" s="21">
        <f t="shared" si="0"/>
        <v>0</v>
      </c>
      <c r="R7" s="22">
        <f t="shared" si="2"/>
        <v>0</v>
      </c>
      <c r="S7" s="45">
        <f>R7+P7+O7+N7+M7</f>
        <v>5245</v>
      </c>
      <c r="T7" s="32">
        <v>120</v>
      </c>
      <c r="U7" s="21">
        <f>85.25-12.9</f>
        <v>72.349999999999994</v>
      </c>
      <c r="V7" s="21">
        <v>0</v>
      </c>
      <c r="W7" s="21"/>
      <c r="X7" s="21">
        <v>0</v>
      </c>
      <c r="Y7" s="21">
        <v>0</v>
      </c>
      <c r="Z7" s="21">
        <v>0</v>
      </c>
      <c r="AA7" s="21">
        <v>375</v>
      </c>
      <c r="AB7" s="21">
        <v>0</v>
      </c>
      <c r="AC7" s="21"/>
      <c r="AD7" s="30">
        <v>41</v>
      </c>
      <c r="AE7" s="59">
        <v>29.9</v>
      </c>
      <c r="AF7" s="59">
        <f>AD7*AE7</f>
        <v>1225.8999999999999</v>
      </c>
      <c r="AG7" s="59"/>
      <c r="AH7" s="30"/>
      <c r="AI7" s="59">
        <v>3346</v>
      </c>
      <c r="AJ7" s="21">
        <f t="shared" si="4"/>
        <v>72.349999999999994</v>
      </c>
      <c r="AK7" s="23">
        <f>(U7*T7)</f>
        <v>8682</v>
      </c>
      <c r="AL7" s="23">
        <f>W7+AK7+R7+S7+AI7+AH7+AG7+AF7+AB7+Z7+Y7+X7+AA7</f>
        <v>18873.900000000001</v>
      </c>
      <c r="AM7" s="23">
        <f t="shared" si="1"/>
        <v>24118.9</v>
      </c>
      <c r="AN7" s="32">
        <f t="shared" si="6"/>
        <v>161</v>
      </c>
      <c r="AO7" s="21">
        <v>0</v>
      </c>
      <c r="AP7" s="30">
        <v>0</v>
      </c>
      <c r="AQ7" s="30">
        <v>0</v>
      </c>
      <c r="AR7" s="21">
        <v>0</v>
      </c>
      <c r="AS7" s="30">
        <v>0</v>
      </c>
      <c r="AT7" s="24">
        <f t="shared" si="7"/>
        <v>868.2</v>
      </c>
      <c r="AU7" s="30"/>
      <c r="AV7" s="30"/>
      <c r="AW7" s="30"/>
      <c r="AX7" s="30"/>
      <c r="AY7" s="30"/>
      <c r="AZ7" s="30"/>
    </row>
    <row r="8" spans="1:52">
      <c r="A8" s="30">
        <v>6</v>
      </c>
      <c r="B8" s="135">
        <v>45577</v>
      </c>
      <c r="C8" s="136" t="s">
        <v>182</v>
      </c>
      <c r="D8" s="136" t="s">
        <v>36</v>
      </c>
      <c r="E8" s="136" t="s">
        <v>151</v>
      </c>
      <c r="F8" s="136" t="s">
        <v>167</v>
      </c>
      <c r="G8" s="136" t="s">
        <v>168</v>
      </c>
      <c r="H8" s="136">
        <v>518</v>
      </c>
      <c r="I8" s="136" t="s">
        <v>36</v>
      </c>
      <c r="J8" s="4"/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21">
        <f t="shared" si="0"/>
        <v>0</v>
      </c>
      <c r="R8" s="22">
        <f t="shared" si="2"/>
        <v>0</v>
      </c>
      <c r="S8" s="45">
        <f t="shared" ref="S8:S11" si="8">R8+P8+O8+N8+M8</f>
        <v>0</v>
      </c>
      <c r="T8" s="30">
        <v>200</v>
      </c>
      <c r="U8" s="30">
        <v>29.9</v>
      </c>
      <c r="V8" s="30">
        <v>0</v>
      </c>
      <c r="W8" s="30">
        <v>750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/>
      <c r="AD8" s="30">
        <v>0</v>
      </c>
      <c r="AE8" s="30">
        <v>0</v>
      </c>
      <c r="AF8" s="59">
        <f t="shared" ref="AF8:AF18" si="9">AD8*AE8</f>
        <v>0</v>
      </c>
      <c r="AG8" s="30">
        <v>0</v>
      </c>
      <c r="AH8" s="30">
        <v>0</v>
      </c>
      <c r="AI8" s="30">
        <v>0</v>
      </c>
      <c r="AJ8" s="21">
        <f t="shared" si="4"/>
        <v>29.9</v>
      </c>
      <c r="AK8" s="23">
        <f t="shared" si="5"/>
        <v>5980</v>
      </c>
      <c r="AL8" s="23">
        <f t="shared" ref="AL8:AL18" si="10">W8+AK8+R8+S8+AI8+AH8+AG8+AF8+AB8+Z8+Y8+X8+AA8</f>
        <v>6730</v>
      </c>
      <c r="AM8" s="23">
        <f t="shared" si="1"/>
        <v>6730</v>
      </c>
      <c r="AN8" s="32">
        <f t="shared" si="6"/>
        <v>200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24">
        <f t="shared" si="7"/>
        <v>598</v>
      </c>
      <c r="AU8" s="30"/>
      <c r="AV8" s="30"/>
      <c r="AW8" s="30"/>
      <c r="AX8" s="30"/>
      <c r="AY8" s="30"/>
      <c r="AZ8" s="30"/>
    </row>
    <row r="9" spans="1:52" s="56" customFormat="1">
      <c r="A9" s="60">
        <v>7</v>
      </c>
      <c r="B9" s="139">
        <v>45584</v>
      </c>
      <c r="C9" s="140"/>
      <c r="D9" s="140"/>
      <c r="E9" s="138" t="s">
        <v>152</v>
      </c>
      <c r="F9" s="138" t="s">
        <v>171</v>
      </c>
      <c r="G9" s="136" t="s">
        <v>168</v>
      </c>
      <c r="H9" s="138">
        <v>517</v>
      </c>
      <c r="I9" s="138" t="s">
        <v>183</v>
      </c>
      <c r="J9" s="49"/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50">
        <f t="shared" si="0"/>
        <v>0</v>
      </c>
      <c r="R9" s="51">
        <f t="shared" si="2"/>
        <v>0</v>
      </c>
      <c r="S9" s="45">
        <f t="shared" si="8"/>
        <v>0</v>
      </c>
      <c r="T9" s="60">
        <v>1</v>
      </c>
      <c r="U9" s="60">
        <v>13750</v>
      </c>
      <c r="V9" s="60">
        <v>0</v>
      </c>
      <c r="W9" s="60">
        <v>0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/>
      <c r="AD9" s="60">
        <v>0</v>
      </c>
      <c r="AE9" s="60">
        <v>0</v>
      </c>
      <c r="AF9" s="59">
        <f t="shared" si="9"/>
        <v>0</v>
      </c>
      <c r="AG9" s="60">
        <v>0</v>
      </c>
      <c r="AH9" s="60">
        <v>0</v>
      </c>
      <c r="AI9" s="60">
        <v>0</v>
      </c>
      <c r="AJ9" s="50">
        <f t="shared" si="4"/>
        <v>13750</v>
      </c>
      <c r="AK9" s="54">
        <f t="shared" si="5"/>
        <v>13750</v>
      </c>
      <c r="AL9" s="23">
        <f t="shared" si="10"/>
        <v>13750</v>
      </c>
      <c r="AM9" s="54">
        <f t="shared" si="1"/>
        <v>13750</v>
      </c>
      <c r="AN9" s="32">
        <f t="shared" si="6"/>
        <v>1</v>
      </c>
      <c r="AO9" s="60">
        <v>0</v>
      </c>
      <c r="AP9" s="60">
        <v>0</v>
      </c>
      <c r="AQ9" s="60">
        <v>0</v>
      </c>
      <c r="AR9" s="60">
        <v>0</v>
      </c>
      <c r="AS9" s="60">
        <v>0</v>
      </c>
      <c r="AT9" s="24">
        <f t="shared" si="7"/>
        <v>1375</v>
      </c>
      <c r="AU9" s="60"/>
      <c r="AV9" s="60"/>
      <c r="AW9" s="60"/>
      <c r="AX9" s="60"/>
      <c r="AY9" s="60"/>
      <c r="AZ9" s="60"/>
    </row>
    <row r="10" spans="1:52" s="56" customFormat="1">
      <c r="A10" s="60">
        <v>8</v>
      </c>
      <c r="B10" s="141">
        <v>45577</v>
      </c>
      <c r="C10" s="142" t="s">
        <v>184</v>
      </c>
      <c r="D10" s="142"/>
      <c r="E10" s="142" t="s">
        <v>152</v>
      </c>
      <c r="F10" s="142" t="s">
        <v>174</v>
      </c>
      <c r="G10" s="142" t="s">
        <v>168</v>
      </c>
      <c r="H10" s="142">
        <v>516</v>
      </c>
      <c r="I10" s="142" t="s">
        <v>185</v>
      </c>
      <c r="J10" s="49"/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50">
        <f t="shared" si="0"/>
        <v>0</v>
      </c>
      <c r="R10" s="51">
        <f t="shared" si="2"/>
        <v>0</v>
      </c>
      <c r="S10" s="45">
        <f t="shared" si="8"/>
        <v>0</v>
      </c>
      <c r="T10" s="60">
        <v>1</v>
      </c>
      <c r="U10" s="60">
        <v>6500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/>
      <c r="AD10" s="60">
        <v>0</v>
      </c>
      <c r="AE10" s="60">
        <v>0</v>
      </c>
      <c r="AF10" s="59">
        <f t="shared" si="9"/>
        <v>0</v>
      </c>
      <c r="AG10" s="60">
        <v>0</v>
      </c>
      <c r="AH10" s="60">
        <v>0</v>
      </c>
      <c r="AI10" s="60">
        <v>0</v>
      </c>
      <c r="AJ10" s="60">
        <f>U10+V10</f>
        <v>6500</v>
      </c>
      <c r="AK10" s="54">
        <f t="shared" si="5"/>
        <v>6500</v>
      </c>
      <c r="AL10" s="23">
        <f t="shared" si="10"/>
        <v>6500</v>
      </c>
      <c r="AM10" s="54">
        <f t="shared" si="1"/>
        <v>6500</v>
      </c>
      <c r="AN10" s="32">
        <f t="shared" si="6"/>
        <v>1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24">
        <f t="shared" si="7"/>
        <v>650</v>
      </c>
      <c r="AU10" s="60"/>
      <c r="AV10" s="60"/>
      <c r="AW10" s="60"/>
      <c r="AX10" s="60"/>
      <c r="AY10" s="60"/>
      <c r="AZ10" s="60"/>
    </row>
    <row r="11" spans="1:52">
      <c r="A11" s="30">
        <v>9</v>
      </c>
      <c r="B11" s="135">
        <v>45572</v>
      </c>
      <c r="C11" s="136" t="s">
        <v>186</v>
      </c>
      <c r="D11" s="136" t="s">
        <v>187</v>
      </c>
      <c r="E11" s="136" t="s">
        <v>151</v>
      </c>
      <c r="F11" s="136" t="s">
        <v>167</v>
      </c>
      <c r="G11" s="136" t="s">
        <v>168</v>
      </c>
      <c r="H11" s="136">
        <v>512</v>
      </c>
      <c r="I11" s="136" t="s">
        <v>187</v>
      </c>
      <c r="J11" s="4"/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21">
        <f t="shared" si="0"/>
        <v>0</v>
      </c>
      <c r="R11" s="22">
        <f t="shared" si="2"/>
        <v>0</v>
      </c>
      <c r="S11" s="45">
        <f t="shared" si="8"/>
        <v>0</v>
      </c>
      <c r="T11" s="30">
        <v>211</v>
      </c>
      <c r="U11" s="30">
        <v>57</v>
      </c>
      <c r="V11" s="30">
        <v>0</v>
      </c>
      <c r="W11" s="30">
        <v>3500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/>
      <c r="AD11" s="30">
        <v>0</v>
      </c>
      <c r="AE11" s="30">
        <v>0</v>
      </c>
      <c r="AF11" s="59">
        <f t="shared" si="9"/>
        <v>0</v>
      </c>
      <c r="AG11" s="30">
        <v>0</v>
      </c>
      <c r="AH11" s="30">
        <v>0</v>
      </c>
      <c r="AI11" s="30">
        <v>2320.1264000000001</v>
      </c>
      <c r="AJ11" s="61">
        <f>U11+V11</f>
        <v>57</v>
      </c>
      <c r="AK11" s="62">
        <f t="shared" si="5"/>
        <v>12027</v>
      </c>
      <c r="AL11" s="23">
        <f t="shared" si="10"/>
        <v>17847.126400000001</v>
      </c>
      <c r="AM11" s="23">
        <f t="shared" si="1"/>
        <v>17847.126400000001</v>
      </c>
      <c r="AN11" s="32">
        <f t="shared" si="6"/>
        <v>211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24">
        <f t="shared" si="7"/>
        <v>1202.7</v>
      </c>
      <c r="AU11" s="30"/>
      <c r="AV11" s="30"/>
      <c r="AW11" s="30">
        <v>25</v>
      </c>
      <c r="AX11" s="30"/>
      <c r="AY11" s="30"/>
      <c r="AZ11" s="30"/>
    </row>
    <row r="12" spans="1:52">
      <c r="A12" s="30">
        <v>10</v>
      </c>
      <c r="B12" s="135">
        <v>45575</v>
      </c>
      <c r="C12" s="136" t="s">
        <v>189</v>
      </c>
      <c r="D12" s="136" t="s">
        <v>188</v>
      </c>
      <c r="E12" s="136" t="s">
        <v>151</v>
      </c>
      <c r="F12" s="136" t="s">
        <v>13</v>
      </c>
      <c r="G12" s="136" t="s">
        <v>168</v>
      </c>
      <c r="H12" s="136">
        <v>511</v>
      </c>
      <c r="I12" s="136" t="s">
        <v>190</v>
      </c>
      <c r="J12" s="4"/>
      <c r="K12" s="30">
        <v>30.833300000000001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21">
        <f t="shared" si="0"/>
        <v>30.833300000000001</v>
      </c>
      <c r="R12" s="22">
        <f>(K12+L12)*T12</f>
        <v>5549.9940000000006</v>
      </c>
      <c r="S12" s="45">
        <f>R12+P12+O12+N12+M12</f>
        <v>5549.9940000000006</v>
      </c>
      <c r="T12" s="30">
        <v>180</v>
      </c>
      <c r="U12" s="30">
        <f>98.0666-8.06</f>
        <v>90.006599999999992</v>
      </c>
      <c r="V12" s="30">
        <v>0</v>
      </c>
      <c r="W12" s="30">
        <v>3250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/>
      <c r="AD12" s="30">
        <v>0</v>
      </c>
      <c r="AE12" s="30">
        <v>0</v>
      </c>
      <c r="AF12" s="59">
        <f t="shared" si="9"/>
        <v>0</v>
      </c>
      <c r="AG12" s="30">
        <v>0</v>
      </c>
      <c r="AH12" s="30">
        <v>0</v>
      </c>
      <c r="AI12" s="30">
        <v>0</v>
      </c>
      <c r="AJ12" s="61">
        <f t="shared" si="4"/>
        <v>90.006599999999992</v>
      </c>
      <c r="AK12" s="62">
        <f>(U12*T12)</f>
        <v>16201.187999999998</v>
      </c>
      <c r="AL12" s="23">
        <f t="shared" si="10"/>
        <v>30551.175999999999</v>
      </c>
      <c r="AM12" s="23">
        <f t="shared" si="1"/>
        <v>36101.17</v>
      </c>
      <c r="AN12" s="32">
        <f t="shared" si="6"/>
        <v>180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24">
        <f t="shared" si="7"/>
        <v>1620.1188</v>
      </c>
      <c r="AU12" s="30"/>
      <c r="AV12" s="30"/>
      <c r="AW12" s="30"/>
      <c r="AX12" s="30"/>
      <c r="AY12" s="30"/>
      <c r="AZ12" s="30"/>
    </row>
    <row r="13" spans="1:52">
      <c r="A13" s="30">
        <v>11</v>
      </c>
      <c r="B13" s="135">
        <v>45591</v>
      </c>
      <c r="C13" s="136" t="s">
        <v>191</v>
      </c>
      <c r="D13" s="136" t="s">
        <v>192</v>
      </c>
      <c r="E13" s="136" t="s">
        <v>152</v>
      </c>
      <c r="F13" s="136" t="s">
        <v>193</v>
      </c>
      <c r="G13" s="136" t="s">
        <v>168</v>
      </c>
      <c r="H13" s="136">
        <v>507</v>
      </c>
      <c r="I13" s="136" t="s">
        <v>194</v>
      </c>
      <c r="J13" s="4"/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21">
        <f t="shared" si="0"/>
        <v>0</v>
      </c>
      <c r="R13" s="22">
        <f t="shared" ref="R13:R28" si="11">(K13+L13)*T13</f>
        <v>0</v>
      </c>
      <c r="S13" s="45">
        <f t="shared" ref="S13:S75" si="12">R13+P13+O13+N13+M13</f>
        <v>0</v>
      </c>
      <c r="T13" s="30">
        <v>200</v>
      </c>
      <c r="U13" s="30">
        <v>0</v>
      </c>
      <c r="V13" s="30">
        <v>0</v>
      </c>
      <c r="W13" s="30">
        <v>6000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/>
      <c r="AD13" s="30">
        <v>0</v>
      </c>
      <c r="AE13" s="30">
        <v>0</v>
      </c>
      <c r="AF13" s="59">
        <f t="shared" si="9"/>
        <v>0</v>
      </c>
      <c r="AG13" s="30">
        <v>0</v>
      </c>
      <c r="AH13" s="30">
        <v>0</v>
      </c>
      <c r="AI13" s="30">
        <v>0</v>
      </c>
      <c r="AJ13" s="61">
        <v>0</v>
      </c>
      <c r="AK13" s="62">
        <f t="shared" si="5"/>
        <v>0</v>
      </c>
      <c r="AL13" s="23">
        <f t="shared" si="10"/>
        <v>6000</v>
      </c>
      <c r="AM13" s="23">
        <f t="shared" si="1"/>
        <v>6000</v>
      </c>
      <c r="AN13" s="32">
        <f t="shared" si="6"/>
        <v>200</v>
      </c>
      <c r="AO13" s="30">
        <v>0</v>
      </c>
      <c r="AP13" s="30">
        <v>0</v>
      </c>
      <c r="AQ13" s="30">
        <v>0</v>
      </c>
      <c r="AR13" s="30"/>
      <c r="AS13" s="30">
        <v>0</v>
      </c>
      <c r="AT13" s="24">
        <f t="shared" si="7"/>
        <v>0</v>
      </c>
      <c r="AU13" s="30"/>
      <c r="AV13" s="30"/>
      <c r="AW13" s="30">
        <v>564</v>
      </c>
      <c r="AX13" s="30"/>
      <c r="AY13" s="30"/>
      <c r="AZ13" s="30"/>
    </row>
    <row r="14" spans="1:52">
      <c r="A14" s="30">
        <v>12</v>
      </c>
      <c r="B14" s="135">
        <v>45570</v>
      </c>
      <c r="C14" s="136" t="s">
        <v>195</v>
      </c>
      <c r="D14" s="136" t="s">
        <v>196</v>
      </c>
      <c r="E14" s="136" t="s">
        <v>152</v>
      </c>
      <c r="F14" s="136" t="s">
        <v>171</v>
      </c>
      <c r="G14" s="136" t="s">
        <v>168</v>
      </c>
      <c r="H14" s="136">
        <v>506</v>
      </c>
      <c r="I14" s="136" t="s">
        <v>197</v>
      </c>
      <c r="J14" s="4"/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21">
        <f t="shared" si="0"/>
        <v>0</v>
      </c>
      <c r="R14" s="22">
        <f t="shared" si="11"/>
        <v>0</v>
      </c>
      <c r="S14" s="45">
        <f t="shared" si="12"/>
        <v>0</v>
      </c>
      <c r="T14" s="30">
        <v>84</v>
      </c>
      <c r="U14" s="30">
        <v>79.900000000000006</v>
      </c>
      <c r="V14" s="30">
        <v>0</v>
      </c>
      <c r="W14" s="30">
        <v>750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/>
      <c r="AD14" s="30">
        <v>0</v>
      </c>
      <c r="AE14" s="30">
        <v>0</v>
      </c>
      <c r="AF14" s="59">
        <f t="shared" si="9"/>
        <v>0</v>
      </c>
      <c r="AG14" s="30">
        <v>0</v>
      </c>
      <c r="AH14" s="30">
        <v>0</v>
      </c>
      <c r="AI14" s="30">
        <v>0</v>
      </c>
      <c r="AJ14" s="61">
        <f t="shared" si="4"/>
        <v>79.900000000000006</v>
      </c>
      <c r="AK14" s="62">
        <f t="shared" si="5"/>
        <v>6711.6</v>
      </c>
      <c r="AL14" s="23">
        <f t="shared" si="10"/>
        <v>7461.6</v>
      </c>
      <c r="AM14" s="23">
        <f t="shared" si="1"/>
        <v>7461.6</v>
      </c>
      <c r="AN14" s="32">
        <f t="shared" si="6"/>
        <v>84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24">
        <f t="shared" si="7"/>
        <v>671.16000000000008</v>
      </c>
      <c r="AU14" s="30"/>
      <c r="AV14" s="30"/>
      <c r="AW14" s="30"/>
      <c r="AX14" s="30"/>
      <c r="AY14" s="30"/>
      <c r="AZ14" s="30"/>
    </row>
    <row r="15" spans="1:52">
      <c r="A15" s="30">
        <v>13</v>
      </c>
      <c r="B15" s="135">
        <v>45569</v>
      </c>
      <c r="C15" s="136" t="s">
        <v>198</v>
      </c>
      <c r="D15" s="136" t="s">
        <v>199</v>
      </c>
      <c r="E15" s="136" t="s">
        <v>151</v>
      </c>
      <c r="F15" s="136" t="s">
        <v>13</v>
      </c>
      <c r="G15" s="136" t="s">
        <v>168</v>
      </c>
      <c r="H15" s="136">
        <v>502</v>
      </c>
      <c r="I15" s="136" t="s">
        <v>200</v>
      </c>
      <c r="J15" s="4"/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21">
        <f t="shared" si="0"/>
        <v>0</v>
      </c>
      <c r="R15" s="22">
        <f t="shared" si="11"/>
        <v>0</v>
      </c>
      <c r="S15" s="45">
        <f t="shared" si="12"/>
        <v>0</v>
      </c>
      <c r="T15" s="30">
        <v>350</v>
      </c>
      <c r="U15" s="30">
        <v>26.9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/>
      <c r="AD15" s="30">
        <v>0</v>
      </c>
      <c r="AE15" s="30">
        <v>0</v>
      </c>
      <c r="AF15" s="59">
        <f t="shared" si="9"/>
        <v>0</v>
      </c>
      <c r="AG15" s="30">
        <v>0</v>
      </c>
      <c r="AH15" s="30">
        <v>0</v>
      </c>
      <c r="AI15" s="30">
        <v>1406.8390999999999</v>
      </c>
      <c r="AJ15" s="61">
        <f t="shared" si="4"/>
        <v>26.9</v>
      </c>
      <c r="AK15" s="62">
        <f t="shared" si="5"/>
        <v>9415</v>
      </c>
      <c r="AL15" s="23">
        <f t="shared" si="10"/>
        <v>10821.839099999999</v>
      </c>
      <c r="AM15" s="23">
        <f t="shared" si="1"/>
        <v>10821.839099999999</v>
      </c>
      <c r="AN15" s="32">
        <f t="shared" si="6"/>
        <v>350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24">
        <f t="shared" si="7"/>
        <v>941.5</v>
      </c>
      <c r="AU15" s="30"/>
      <c r="AV15" s="30"/>
      <c r="AW15" s="30"/>
      <c r="AX15" s="30"/>
      <c r="AY15" s="30"/>
      <c r="AZ15" s="30"/>
    </row>
    <row r="16" spans="1:52">
      <c r="A16" s="30">
        <v>14</v>
      </c>
      <c r="B16" s="135">
        <v>45558</v>
      </c>
      <c r="C16" s="136" t="s">
        <v>201</v>
      </c>
      <c r="D16" s="136" t="s">
        <v>187</v>
      </c>
      <c r="E16" s="136" t="s">
        <v>202</v>
      </c>
      <c r="F16" s="136" t="s">
        <v>13</v>
      </c>
      <c r="G16" s="136" t="s">
        <v>168</v>
      </c>
      <c r="H16" s="136">
        <v>500</v>
      </c>
      <c r="I16" s="136"/>
      <c r="J16" s="4"/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1000</v>
      </c>
      <c r="Q16" s="21">
        <f t="shared" si="0"/>
        <v>0</v>
      </c>
      <c r="R16" s="22">
        <f t="shared" si="11"/>
        <v>0</v>
      </c>
      <c r="S16" s="45">
        <f t="shared" si="12"/>
        <v>1000</v>
      </c>
      <c r="T16" s="30">
        <v>70</v>
      </c>
      <c r="U16" s="30">
        <v>65</v>
      </c>
      <c r="V16" s="30">
        <v>0</v>
      </c>
      <c r="W16" s="30">
        <v>850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/>
      <c r="AD16" s="30">
        <v>0</v>
      </c>
      <c r="AE16" s="30">
        <v>0</v>
      </c>
      <c r="AF16" s="59">
        <f t="shared" si="9"/>
        <v>0</v>
      </c>
      <c r="AG16" s="30">
        <v>0</v>
      </c>
      <c r="AH16" s="30">
        <v>0</v>
      </c>
      <c r="AI16" s="30"/>
      <c r="AJ16" s="61">
        <f t="shared" si="4"/>
        <v>65</v>
      </c>
      <c r="AK16" s="62">
        <f t="shared" si="5"/>
        <v>4550</v>
      </c>
      <c r="AL16" s="23">
        <f t="shared" si="10"/>
        <v>6400</v>
      </c>
      <c r="AM16" s="23">
        <f>AL16+S16</f>
        <v>7400</v>
      </c>
      <c r="AN16" s="32">
        <f t="shared" si="6"/>
        <v>70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24">
        <f t="shared" si="7"/>
        <v>455</v>
      </c>
      <c r="AU16" s="30"/>
      <c r="AV16" s="30"/>
      <c r="AW16" s="30"/>
      <c r="AX16" s="30"/>
      <c r="AY16" s="30"/>
      <c r="AZ16" s="30"/>
    </row>
    <row r="17" spans="1:52">
      <c r="A17" s="30">
        <v>15</v>
      </c>
      <c r="B17" s="135">
        <v>45556</v>
      </c>
      <c r="C17" s="136" t="s">
        <v>205</v>
      </c>
      <c r="D17" s="136" t="s">
        <v>203</v>
      </c>
      <c r="E17" s="136" t="s">
        <v>202</v>
      </c>
      <c r="F17" s="136" t="s">
        <v>13</v>
      </c>
      <c r="G17" s="136" t="s">
        <v>168</v>
      </c>
      <c r="H17" s="136">
        <v>499</v>
      </c>
      <c r="I17" s="136" t="s">
        <v>204</v>
      </c>
      <c r="J17" s="4"/>
      <c r="K17" s="30"/>
      <c r="L17" s="30"/>
      <c r="M17" s="30"/>
      <c r="N17" s="30"/>
      <c r="O17" s="30"/>
      <c r="P17" s="30"/>
      <c r="Q17" s="21">
        <f t="shared" si="0"/>
        <v>0</v>
      </c>
      <c r="R17" s="22">
        <f t="shared" si="11"/>
        <v>0</v>
      </c>
      <c r="S17" s="45">
        <f t="shared" si="12"/>
        <v>0</v>
      </c>
      <c r="T17" s="30">
        <v>200</v>
      </c>
      <c r="U17" s="30">
        <f>61.5+0.4</f>
        <v>61.9</v>
      </c>
      <c r="V17" s="30">
        <v>0</v>
      </c>
      <c r="W17" s="30">
        <f>2700+500</f>
        <v>3200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500</v>
      </c>
      <c r="AD17" s="30">
        <v>360</v>
      </c>
      <c r="AE17" s="30">
        <v>43.334000000000003</v>
      </c>
      <c r="AF17" s="59">
        <f t="shared" si="9"/>
        <v>15600.240000000002</v>
      </c>
      <c r="AG17" s="30">
        <v>0</v>
      </c>
      <c r="AH17" s="30">
        <v>0</v>
      </c>
      <c r="AI17" s="30">
        <v>2402.7586000000001</v>
      </c>
      <c r="AJ17" s="61">
        <f t="shared" si="4"/>
        <v>61.9</v>
      </c>
      <c r="AK17" s="62">
        <f t="shared" si="5"/>
        <v>12380</v>
      </c>
      <c r="AL17" s="23">
        <f t="shared" si="10"/>
        <v>33582.998600000006</v>
      </c>
      <c r="AM17" s="23">
        <f t="shared" ref="AM17:AM20" si="13">AL17+S17</f>
        <v>33582.998600000006</v>
      </c>
      <c r="AN17" s="32">
        <f t="shared" si="6"/>
        <v>560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24">
        <f t="shared" si="7"/>
        <v>1238</v>
      </c>
      <c r="AU17" s="30"/>
      <c r="AV17" s="30"/>
      <c r="AW17" s="30"/>
      <c r="AX17" s="30"/>
      <c r="AY17" s="30"/>
      <c r="AZ17" s="30"/>
    </row>
    <row r="18" spans="1:52" s="56" customFormat="1">
      <c r="A18" s="60">
        <v>16</v>
      </c>
      <c r="B18" s="137">
        <v>45556</v>
      </c>
      <c r="C18" s="138"/>
      <c r="D18" s="138" t="s">
        <v>207</v>
      </c>
      <c r="E18" s="138" t="s">
        <v>152</v>
      </c>
      <c r="F18" s="138"/>
      <c r="G18" s="136" t="s">
        <v>168</v>
      </c>
      <c r="H18" s="138">
        <v>498</v>
      </c>
      <c r="I18" s="138"/>
      <c r="J18" s="49"/>
      <c r="K18" s="60">
        <v>0</v>
      </c>
      <c r="L18" s="60"/>
      <c r="M18" s="60"/>
      <c r="N18" s="60"/>
      <c r="O18" s="60"/>
      <c r="P18" s="60"/>
      <c r="Q18" s="21">
        <f t="shared" si="0"/>
        <v>0</v>
      </c>
      <c r="R18" s="22">
        <f t="shared" si="11"/>
        <v>0</v>
      </c>
      <c r="S18" s="45">
        <f t="shared" si="12"/>
        <v>0</v>
      </c>
      <c r="T18" s="60">
        <v>1</v>
      </c>
      <c r="U18" s="60">
        <v>5065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63">
        <f t="shared" si="9"/>
        <v>0</v>
      </c>
      <c r="AG18" s="60">
        <v>0</v>
      </c>
      <c r="AH18" s="60">
        <v>0</v>
      </c>
      <c r="AI18" s="60">
        <v>0</v>
      </c>
      <c r="AJ18" s="61">
        <f t="shared" si="4"/>
        <v>5065</v>
      </c>
      <c r="AK18" s="54">
        <f t="shared" si="5"/>
        <v>5065</v>
      </c>
      <c r="AL18" s="23">
        <f t="shared" si="10"/>
        <v>5065</v>
      </c>
      <c r="AM18" s="23">
        <f t="shared" si="13"/>
        <v>5065</v>
      </c>
      <c r="AN18" s="32">
        <f t="shared" si="6"/>
        <v>1</v>
      </c>
      <c r="AO18" s="60">
        <v>0</v>
      </c>
      <c r="AP18" s="60">
        <v>0</v>
      </c>
      <c r="AQ18" s="60">
        <v>0</v>
      </c>
      <c r="AR18" s="60">
        <v>0</v>
      </c>
      <c r="AS18" s="60">
        <v>0</v>
      </c>
      <c r="AT18" s="24">
        <f t="shared" si="7"/>
        <v>506.5</v>
      </c>
      <c r="AU18" s="60"/>
      <c r="AV18" s="60"/>
      <c r="AW18" s="60"/>
      <c r="AX18" s="60"/>
      <c r="AY18" s="60"/>
      <c r="AZ18" s="60"/>
    </row>
    <row r="19" spans="1:52">
      <c r="A19" s="30">
        <v>17</v>
      </c>
      <c r="B19" s="135">
        <v>45556</v>
      </c>
      <c r="C19" s="136" t="s">
        <v>208</v>
      </c>
      <c r="D19" s="136" t="s">
        <v>36</v>
      </c>
      <c r="E19" s="136" t="s">
        <v>151</v>
      </c>
      <c r="F19" s="136" t="s">
        <v>167</v>
      </c>
      <c r="G19" s="136" t="s">
        <v>168</v>
      </c>
      <c r="H19" s="136">
        <v>496</v>
      </c>
      <c r="I19" s="136" t="s">
        <v>36</v>
      </c>
      <c r="J19" s="4"/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21">
        <f t="shared" si="0"/>
        <v>0</v>
      </c>
      <c r="R19" s="22">
        <f t="shared" si="11"/>
        <v>0</v>
      </c>
      <c r="S19" s="45">
        <f t="shared" si="12"/>
        <v>0</v>
      </c>
      <c r="T19" s="30">
        <v>365</v>
      </c>
      <c r="U19" s="30">
        <v>26.013698600000001</v>
      </c>
      <c r="V19" s="30">
        <v>0</v>
      </c>
      <c r="W19" s="30">
        <v>2500</v>
      </c>
      <c r="X19" s="30">
        <v>0</v>
      </c>
      <c r="Y19" s="30">
        <v>0</v>
      </c>
      <c r="Z19" s="30">
        <v>800</v>
      </c>
      <c r="AA19" s="30">
        <v>0</v>
      </c>
      <c r="AB19" s="30">
        <v>0</v>
      </c>
      <c r="AC19" s="30">
        <v>0</v>
      </c>
      <c r="AD19" s="30">
        <v>15</v>
      </c>
      <c r="AE19" s="30">
        <v>64.010000000000005</v>
      </c>
      <c r="AF19" s="59">
        <f>AD19*AE19</f>
        <v>960.15000000000009</v>
      </c>
      <c r="AG19" s="30">
        <v>0</v>
      </c>
      <c r="AH19" s="30">
        <v>0</v>
      </c>
      <c r="AI19" s="30">
        <v>1750</v>
      </c>
      <c r="AJ19" s="61">
        <f t="shared" si="4"/>
        <v>26.013698600000001</v>
      </c>
      <c r="AK19" s="62">
        <f>(U19*T19)</f>
        <v>9494.9999889999999</v>
      </c>
      <c r="AL19" s="23">
        <f>W19+AK19+R19+S19+AI19+AH19+AG19+AF19+AB19+Z19+Y19+X19+AA19</f>
        <v>15505.149989</v>
      </c>
      <c r="AM19" s="23">
        <f>AL19+S19</f>
        <v>15505.149989</v>
      </c>
      <c r="AN19" s="32">
        <f t="shared" si="6"/>
        <v>380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24">
        <f t="shared" si="7"/>
        <v>949.49999890000004</v>
      </c>
      <c r="AU19" s="30"/>
      <c r="AV19" s="30"/>
      <c r="AW19" s="30"/>
      <c r="AX19" s="30"/>
      <c r="AY19" s="30"/>
      <c r="AZ19" s="30"/>
    </row>
    <row r="20" spans="1:52">
      <c r="A20" s="30">
        <v>18</v>
      </c>
      <c r="B20" s="135">
        <v>45548</v>
      </c>
      <c r="C20" s="136" t="s">
        <v>210</v>
      </c>
      <c r="D20" s="136" t="s">
        <v>187</v>
      </c>
      <c r="E20" s="136" t="s">
        <v>202</v>
      </c>
      <c r="F20" s="136" t="s">
        <v>209</v>
      </c>
      <c r="G20" s="136" t="s">
        <v>168</v>
      </c>
      <c r="H20" s="136">
        <v>495</v>
      </c>
      <c r="I20" s="136" t="s">
        <v>187</v>
      </c>
      <c r="J20" s="4"/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21">
        <f t="shared" si="0"/>
        <v>0</v>
      </c>
      <c r="R20" s="22">
        <f t="shared" si="11"/>
        <v>0</v>
      </c>
      <c r="S20" s="45">
        <f t="shared" si="12"/>
        <v>0</v>
      </c>
      <c r="T20" s="30">
        <v>7</v>
      </c>
      <c r="U20" s="30">
        <f>344.83/7</f>
        <v>49.261428571428567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59">
        <f t="shared" ref="AF20:AF83" si="14">AD20*AE20</f>
        <v>0</v>
      </c>
      <c r="AG20" s="30">
        <v>0</v>
      </c>
      <c r="AH20" s="30">
        <v>0</v>
      </c>
      <c r="AI20" s="30">
        <v>0</v>
      </c>
      <c r="AJ20" s="61">
        <f t="shared" si="4"/>
        <v>49.261428571428567</v>
      </c>
      <c r="AK20" s="62">
        <f t="shared" ref="AK20:AK83" si="15">(U20*T20)</f>
        <v>344.83</v>
      </c>
      <c r="AL20" s="23">
        <f t="shared" ref="AL20:AL30" si="16">AK20+AI20+AH20+AG20+AF20+AC20+AB20+AA20+AA20+X20+Y20+W20+Z20+AQ20</f>
        <v>344.83</v>
      </c>
      <c r="AM20" s="23">
        <f t="shared" si="13"/>
        <v>344.83</v>
      </c>
      <c r="AN20" s="32">
        <f t="shared" si="6"/>
        <v>7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24">
        <f t="shared" si="7"/>
        <v>34.482999999999997</v>
      </c>
      <c r="AU20" s="30"/>
      <c r="AV20" s="30"/>
      <c r="AW20" s="30"/>
      <c r="AX20" s="30"/>
      <c r="AY20" s="30"/>
      <c r="AZ20" s="30"/>
    </row>
    <row r="21" spans="1:52">
      <c r="A21" s="30">
        <v>19</v>
      </c>
      <c r="B21" s="135">
        <v>45538</v>
      </c>
      <c r="C21" s="136" t="s">
        <v>211</v>
      </c>
      <c r="D21" s="136" t="s">
        <v>187</v>
      </c>
      <c r="E21" s="136" t="s">
        <v>202</v>
      </c>
      <c r="F21" s="136" t="s">
        <v>167</v>
      </c>
      <c r="G21" s="136" t="s">
        <v>168</v>
      </c>
      <c r="H21" s="136">
        <v>492</v>
      </c>
      <c r="I21" s="136" t="s">
        <v>187</v>
      </c>
      <c r="J21" s="4"/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21">
        <f t="shared" si="0"/>
        <v>0</v>
      </c>
      <c r="R21" s="22">
        <f t="shared" si="11"/>
        <v>0</v>
      </c>
      <c r="S21" s="45">
        <f t="shared" si="12"/>
        <v>0</v>
      </c>
      <c r="T21" s="30">
        <v>250</v>
      </c>
      <c r="U21" s="30">
        <v>38</v>
      </c>
      <c r="V21" s="30">
        <v>0</v>
      </c>
      <c r="W21" s="30">
        <v>1500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59">
        <f t="shared" si="14"/>
        <v>0</v>
      </c>
      <c r="AG21" s="30">
        <v>0</v>
      </c>
      <c r="AH21" s="30">
        <v>0</v>
      </c>
      <c r="AI21" s="30">
        <v>2643.67</v>
      </c>
      <c r="AJ21" s="64">
        <f t="shared" si="4"/>
        <v>38</v>
      </c>
      <c r="AK21" s="62">
        <f t="shared" si="15"/>
        <v>9500</v>
      </c>
      <c r="AL21" s="23">
        <f t="shared" si="16"/>
        <v>13643.67</v>
      </c>
      <c r="AM21" s="23">
        <f>AL21+S21</f>
        <v>13643.67</v>
      </c>
      <c r="AN21" s="32">
        <f t="shared" si="6"/>
        <v>250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24">
        <f t="shared" si="7"/>
        <v>950</v>
      </c>
      <c r="AU21" s="30"/>
      <c r="AV21" s="30"/>
      <c r="AW21" s="30"/>
      <c r="AX21" s="30"/>
      <c r="AY21" s="30"/>
      <c r="AZ21" s="30"/>
    </row>
    <row r="22" spans="1:52">
      <c r="A22" s="30">
        <v>20</v>
      </c>
      <c r="B22" s="143">
        <v>45548</v>
      </c>
      <c r="C22" s="136" t="s">
        <v>212</v>
      </c>
      <c r="D22" s="136" t="s">
        <v>213</v>
      </c>
      <c r="E22" s="136" t="s">
        <v>202</v>
      </c>
      <c r="F22" s="136" t="s">
        <v>209</v>
      </c>
      <c r="G22" s="136" t="s">
        <v>168</v>
      </c>
      <c r="H22" s="136">
        <v>490</v>
      </c>
      <c r="I22" s="136" t="s">
        <v>214</v>
      </c>
      <c r="J22" s="4"/>
      <c r="K22" s="30">
        <v>25</v>
      </c>
      <c r="L22" s="30">
        <v>0</v>
      </c>
      <c r="M22" s="30">
        <v>0</v>
      </c>
      <c r="N22" s="30">
        <v>0</v>
      </c>
      <c r="O22" s="30">
        <v>0</v>
      </c>
      <c r="P22" s="30">
        <v>640</v>
      </c>
      <c r="Q22" s="21">
        <f t="shared" si="0"/>
        <v>25</v>
      </c>
      <c r="R22" s="22">
        <f t="shared" si="11"/>
        <v>750</v>
      </c>
      <c r="S22" s="45">
        <f t="shared" si="12"/>
        <v>1390</v>
      </c>
      <c r="T22" s="30">
        <v>30</v>
      </c>
      <c r="U22" s="30">
        <v>45</v>
      </c>
      <c r="V22" s="30">
        <v>0</v>
      </c>
      <c r="W22" s="30">
        <v>1060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59">
        <f t="shared" si="14"/>
        <v>0</v>
      </c>
      <c r="AG22" s="30">
        <v>0</v>
      </c>
      <c r="AH22" s="30">
        <v>0</v>
      </c>
      <c r="AI22" s="30">
        <v>567.82000000000005</v>
      </c>
      <c r="AJ22" s="61">
        <f t="shared" si="4"/>
        <v>45</v>
      </c>
      <c r="AK22" s="62">
        <f t="shared" si="15"/>
        <v>1350</v>
      </c>
      <c r="AL22" s="23">
        <f>AK22+AI22+AH22+AG22+AF22+AC22+AB22+AA22+AA22+X22+Y22+W22+Z22+AQ22</f>
        <v>2977.82</v>
      </c>
      <c r="AM22" s="23">
        <f>AL22+S22</f>
        <v>4367.82</v>
      </c>
      <c r="AN22" s="32">
        <f t="shared" si="6"/>
        <v>30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24">
        <f t="shared" si="7"/>
        <v>135</v>
      </c>
      <c r="AU22" s="30"/>
      <c r="AV22" s="30"/>
      <c r="AW22" s="30"/>
      <c r="AX22" s="30"/>
      <c r="AY22" s="30"/>
      <c r="AZ22" s="30"/>
    </row>
    <row r="23" spans="1:52">
      <c r="A23" s="30">
        <v>21</v>
      </c>
      <c r="B23" s="135">
        <v>45549</v>
      </c>
      <c r="C23" s="136" t="s">
        <v>171</v>
      </c>
      <c r="D23" s="136" t="s">
        <v>196</v>
      </c>
      <c r="E23" s="144" t="s">
        <v>152</v>
      </c>
      <c r="F23" s="136" t="s">
        <v>171</v>
      </c>
      <c r="G23" s="136" t="s">
        <v>168</v>
      </c>
      <c r="H23" s="136">
        <v>494</v>
      </c>
      <c r="I23" s="136" t="s">
        <v>215</v>
      </c>
      <c r="J23" s="4"/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21">
        <f t="shared" si="0"/>
        <v>0</v>
      </c>
      <c r="R23" s="22">
        <f t="shared" si="11"/>
        <v>0</v>
      </c>
      <c r="S23" s="45">
        <f t="shared" si="12"/>
        <v>0</v>
      </c>
      <c r="T23" s="30">
        <v>60</v>
      </c>
      <c r="U23" s="30">
        <v>70</v>
      </c>
      <c r="V23" s="30">
        <v>0</v>
      </c>
      <c r="W23" s="30">
        <f>400+1100</f>
        <v>1500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59">
        <f t="shared" si="14"/>
        <v>0</v>
      </c>
      <c r="AG23" s="30">
        <v>0</v>
      </c>
      <c r="AH23" s="30">
        <v>0</v>
      </c>
      <c r="AI23" s="30">
        <v>0</v>
      </c>
      <c r="AJ23" s="61">
        <f t="shared" si="4"/>
        <v>70</v>
      </c>
      <c r="AK23" s="62">
        <f t="shared" si="15"/>
        <v>4200</v>
      </c>
      <c r="AL23" s="23">
        <f t="shared" si="16"/>
        <v>5700</v>
      </c>
      <c r="AM23" s="62">
        <f t="shared" ref="AM23:AM85" si="17">S23+AL23</f>
        <v>5700</v>
      </c>
      <c r="AN23" s="32">
        <f t="shared" si="6"/>
        <v>60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24">
        <f t="shared" si="7"/>
        <v>420</v>
      </c>
      <c r="AU23" s="30"/>
      <c r="AV23" s="30"/>
      <c r="AW23" s="30"/>
      <c r="AX23" s="30"/>
      <c r="AY23" s="30"/>
      <c r="AZ23" s="30"/>
    </row>
    <row r="24" spans="1:52" s="56" customFormat="1">
      <c r="A24" s="60">
        <v>22</v>
      </c>
      <c r="B24" s="137">
        <v>45533</v>
      </c>
      <c r="C24" s="138" t="s">
        <v>216</v>
      </c>
      <c r="D24" s="138" t="s">
        <v>217</v>
      </c>
      <c r="E24" s="138" t="s">
        <v>152</v>
      </c>
      <c r="F24" s="138" t="s">
        <v>209</v>
      </c>
      <c r="G24" s="136" t="s">
        <v>168</v>
      </c>
      <c r="H24" s="138">
        <v>487</v>
      </c>
      <c r="I24" s="138" t="s">
        <v>61</v>
      </c>
      <c r="J24" s="49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21">
        <f t="shared" si="0"/>
        <v>0</v>
      </c>
      <c r="R24" s="51">
        <f t="shared" si="11"/>
        <v>0</v>
      </c>
      <c r="S24" s="52">
        <f t="shared" si="12"/>
        <v>0</v>
      </c>
      <c r="T24" s="60">
        <v>1</v>
      </c>
      <c r="U24" s="60">
        <v>2910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59">
        <f t="shared" si="14"/>
        <v>0</v>
      </c>
      <c r="AG24" s="60">
        <v>0</v>
      </c>
      <c r="AH24" s="60">
        <v>0</v>
      </c>
      <c r="AI24" s="60">
        <v>0</v>
      </c>
      <c r="AJ24" s="60">
        <f t="shared" si="4"/>
        <v>2910</v>
      </c>
      <c r="AK24" s="54">
        <f t="shared" si="15"/>
        <v>2910</v>
      </c>
      <c r="AL24" s="54">
        <f t="shared" si="16"/>
        <v>2910</v>
      </c>
      <c r="AM24" s="54">
        <f t="shared" si="17"/>
        <v>2910</v>
      </c>
      <c r="AN24" s="32">
        <f t="shared" si="6"/>
        <v>1</v>
      </c>
      <c r="AO24" s="60">
        <v>0</v>
      </c>
      <c r="AP24" s="60">
        <v>0</v>
      </c>
      <c r="AQ24" s="60">
        <v>0</v>
      </c>
      <c r="AR24" s="60">
        <v>0</v>
      </c>
      <c r="AS24" s="60">
        <v>0</v>
      </c>
      <c r="AT24" s="55">
        <f t="shared" si="7"/>
        <v>291</v>
      </c>
      <c r="AU24" s="60"/>
      <c r="AV24" s="60"/>
      <c r="AW24" s="60"/>
      <c r="AX24" s="60"/>
      <c r="AY24" s="60"/>
      <c r="AZ24" s="60"/>
    </row>
    <row r="25" spans="1:52">
      <c r="A25" s="30">
        <v>23</v>
      </c>
      <c r="B25" s="135">
        <v>45517</v>
      </c>
      <c r="C25" s="136" t="s">
        <v>218</v>
      </c>
      <c r="D25" s="136" t="s">
        <v>36</v>
      </c>
      <c r="E25" s="136" t="s">
        <v>151</v>
      </c>
      <c r="F25" s="136" t="s">
        <v>167</v>
      </c>
      <c r="G25" s="136" t="s">
        <v>168</v>
      </c>
      <c r="H25" s="136">
        <v>486</v>
      </c>
      <c r="I25" s="136" t="s">
        <v>36</v>
      </c>
      <c r="J25" s="4"/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21">
        <f t="shared" si="0"/>
        <v>0</v>
      </c>
      <c r="R25" s="22">
        <f t="shared" si="11"/>
        <v>0</v>
      </c>
      <c r="S25" s="45">
        <f t="shared" si="12"/>
        <v>0</v>
      </c>
      <c r="T25" s="30">
        <v>150</v>
      </c>
      <c r="U25" s="30">
        <v>29.9</v>
      </c>
      <c r="V25" s="30">
        <v>0</v>
      </c>
      <c r="W25" s="30">
        <v>1380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59">
        <f t="shared" si="14"/>
        <v>0</v>
      </c>
      <c r="AG25" s="30">
        <v>0</v>
      </c>
      <c r="AH25" s="30">
        <v>0</v>
      </c>
      <c r="AI25" s="30">
        <v>0</v>
      </c>
      <c r="AJ25" s="61">
        <f t="shared" si="4"/>
        <v>29.9</v>
      </c>
      <c r="AK25" s="62">
        <f t="shared" si="15"/>
        <v>4485</v>
      </c>
      <c r="AL25" s="23">
        <f t="shared" si="16"/>
        <v>5865</v>
      </c>
      <c r="AM25" s="62">
        <f t="shared" si="17"/>
        <v>5865</v>
      </c>
      <c r="AN25" s="32">
        <f t="shared" si="6"/>
        <v>150</v>
      </c>
      <c r="AO25" s="60">
        <v>0</v>
      </c>
      <c r="AP25" s="30"/>
      <c r="AQ25" s="30"/>
      <c r="AR25" s="30"/>
      <c r="AS25" s="30"/>
      <c r="AT25" s="24">
        <f t="shared" si="7"/>
        <v>448.5</v>
      </c>
      <c r="AU25" s="30"/>
      <c r="AV25" s="30"/>
      <c r="AW25" s="30"/>
      <c r="AX25" s="30"/>
      <c r="AY25" s="30"/>
      <c r="AZ25" s="30"/>
    </row>
    <row r="26" spans="1:52">
      <c r="A26" s="30">
        <v>24</v>
      </c>
      <c r="B26" s="135">
        <v>45524</v>
      </c>
      <c r="C26" s="136" t="s">
        <v>219</v>
      </c>
      <c r="D26" s="136" t="s">
        <v>36</v>
      </c>
      <c r="E26" s="136" t="s">
        <v>151</v>
      </c>
      <c r="F26" s="136" t="s">
        <v>167</v>
      </c>
      <c r="G26" s="136" t="s">
        <v>168</v>
      </c>
      <c r="H26" s="136">
        <v>485</v>
      </c>
      <c r="I26" s="136" t="s">
        <v>36</v>
      </c>
      <c r="J26" s="4"/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21">
        <f t="shared" si="0"/>
        <v>0</v>
      </c>
      <c r="R26" s="22">
        <f t="shared" si="11"/>
        <v>0</v>
      </c>
      <c r="S26" s="45">
        <f t="shared" si="12"/>
        <v>0</v>
      </c>
      <c r="T26" s="30">
        <v>100</v>
      </c>
      <c r="U26" s="30">
        <v>29.9</v>
      </c>
      <c r="V26" s="30">
        <v>0</v>
      </c>
      <c r="W26" s="30">
        <v>250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59">
        <f t="shared" si="14"/>
        <v>0</v>
      </c>
      <c r="AG26" s="30">
        <v>0</v>
      </c>
      <c r="AH26" s="30">
        <v>0</v>
      </c>
      <c r="AI26" s="30">
        <v>0</v>
      </c>
      <c r="AJ26" s="30">
        <f t="shared" si="4"/>
        <v>29.9</v>
      </c>
      <c r="AK26" s="62">
        <f t="shared" si="15"/>
        <v>2990</v>
      </c>
      <c r="AL26" s="23">
        <f t="shared" si="16"/>
        <v>3240</v>
      </c>
      <c r="AM26" s="62">
        <f t="shared" si="17"/>
        <v>3240</v>
      </c>
      <c r="AN26" s="32">
        <f t="shared" si="6"/>
        <v>100</v>
      </c>
      <c r="AO26" s="60">
        <v>0</v>
      </c>
      <c r="AP26" s="30"/>
      <c r="AQ26" s="30"/>
      <c r="AR26" s="30"/>
      <c r="AS26" s="30"/>
      <c r="AT26" s="30">
        <f t="shared" si="7"/>
        <v>299</v>
      </c>
      <c r="AU26" s="30"/>
      <c r="AV26" s="30"/>
      <c r="AW26" s="30"/>
      <c r="AX26" s="30"/>
      <c r="AY26" s="30"/>
      <c r="AZ26" s="30"/>
    </row>
    <row r="27" spans="1:52" s="56" customFormat="1">
      <c r="A27" s="60">
        <v>25</v>
      </c>
      <c r="B27" s="137">
        <v>45519</v>
      </c>
      <c r="C27" s="138" t="s">
        <v>220</v>
      </c>
      <c r="D27" s="138" t="s">
        <v>221</v>
      </c>
      <c r="E27" s="138" t="s">
        <v>152</v>
      </c>
      <c r="F27" s="138" t="s">
        <v>222</v>
      </c>
      <c r="G27" s="136" t="s">
        <v>168</v>
      </c>
      <c r="H27" s="138">
        <v>484</v>
      </c>
      <c r="I27" s="138" t="s">
        <v>221</v>
      </c>
      <c r="J27" s="49"/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21">
        <f t="shared" si="0"/>
        <v>0</v>
      </c>
      <c r="R27" s="51">
        <f t="shared" si="11"/>
        <v>0</v>
      </c>
      <c r="S27" s="52">
        <f t="shared" si="12"/>
        <v>0</v>
      </c>
      <c r="T27" s="60">
        <v>1</v>
      </c>
      <c r="U27" s="60">
        <v>1975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59">
        <f t="shared" si="14"/>
        <v>0</v>
      </c>
      <c r="AG27" s="60">
        <v>0</v>
      </c>
      <c r="AH27" s="60">
        <v>0</v>
      </c>
      <c r="AI27" s="60">
        <v>0</v>
      </c>
      <c r="AJ27" s="30">
        <f t="shared" si="4"/>
        <v>1975</v>
      </c>
      <c r="AK27" s="54">
        <f t="shared" si="15"/>
        <v>1975</v>
      </c>
      <c r="AL27" s="54">
        <f t="shared" si="16"/>
        <v>1975</v>
      </c>
      <c r="AM27" s="54">
        <f t="shared" si="17"/>
        <v>1975</v>
      </c>
      <c r="AN27" s="32">
        <f t="shared" si="6"/>
        <v>1</v>
      </c>
      <c r="AO27" s="60">
        <v>0</v>
      </c>
      <c r="AP27" s="60"/>
      <c r="AQ27" s="60"/>
      <c r="AR27" s="60"/>
      <c r="AS27" s="60"/>
      <c r="AT27" s="60">
        <f t="shared" si="7"/>
        <v>197.5</v>
      </c>
      <c r="AU27" s="60"/>
      <c r="AV27" s="60"/>
      <c r="AW27" s="60"/>
      <c r="AX27" s="60"/>
      <c r="AY27" s="60"/>
      <c r="AZ27" s="60"/>
    </row>
    <row r="28" spans="1:52">
      <c r="A28" s="60">
        <v>26</v>
      </c>
      <c r="B28" s="137">
        <v>45470</v>
      </c>
      <c r="C28" s="138" t="s">
        <v>223</v>
      </c>
      <c r="D28" s="138" t="s">
        <v>221</v>
      </c>
      <c r="E28" s="138" t="s">
        <v>152</v>
      </c>
      <c r="F28" s="138" t="s">
        <v>224</v>
      </c>
      <c r="G28" s="136" t="s">
        <v>168</v>
      </c>
      <c r="H28" s="138">
        <v>483</v>
      </c>
      <c r="I28" s="138" t="s">
        <v>221</v>
      </c>
      <c r="J28" s="49"/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21">
        <f t="shared" si="0"/>
        <v>0</v>
      </c>
      <c r="R28" s="51">
        <f t="shared" si="11"/>
        <v>0</v>
      </c>
      <c r="S28" s="52">
        <f t="shared" si="12"/>
        <v>0</v>
      </c>
      <c r="T28" s="60">
        <v>1</v>
      </c>
      <c r="U28" s="60">
        <v>2185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59">
        <f t="shared" si="14"/>
        <v>0</v>
      </c>
      <c r="AG28" s="60">
        <v>0</v>
      </c>
      <c r="AH28" s="60">
        <v>0</v>
      </c>
      <c r="AI28" s="60">
        <v>0</v>
      </c>
      <c r="AJ28" s="60">
        <f t="shared" si="4"/>
        <v>2185</v>
      </c>
      <c r="AK28" s="54">
        <f t="shared" si="15"/>
        <v>2185</v>
      </c>
      <c r="AL28" s="54">
        <f t="shared" si="16"/>
        <v>2185</v>
      </c>
      <c r="AM28" s="54">
        <f t="shared" si="17"/>
        <v>2185</v>
      </c>
      <c r="AN28" s="32">
        <f t="shared" si="6"/>
        <v>1</v>
      </c>
      <c r="AO28" s="60">
        <v>0</v>
      </c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</row>
    <row r="29" spans="1:52" s="69" customFormat="1">
      <c r="A29" s="61">
        <v>27</v>
      </c>
      <c r="B29" s="141">
        <v>45536</v>
      </c>
      <c r="C29" s="142" t="s">
        <v>225</v>
      </c>
      <c r="D29" s="142" t="s">
        <v>36</v>
      </c>
      <c r="E29" s="142" t="s">
        <v>151</v>
      </c>
      <c r="F29" s="142" t="s">
        <v>167</v>
      </c>
      <c r="G29" s="136" t="s">
        <v>168</v>
      </c>
      <c r="H29" s="142">
        <v>474</v>
      </c>
      <c r="I29" s="142" t="s">
        <v>36</v>
      </c>
      <c r="J29" s="87"/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6">
        <f t="shared" si="0"/>
        <v>0</v>
      </c>
      <c r="R29" s="67">
        <f t="shared" ref="R29:R91" si="18">(K29+L29)*T29</f>
        <v>0</v>
      </c>
      <c r="S29" s="68">
        <f t="shared" si="12"/>
        <v>0</v>
      </c>
      <c r="T29" s="61">
        <v>145</v>
      </c>
      <c r="U29" s="61">
        <v>33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59">
        <f t="shared" si="14"/>
        <v>0</v>
      </c>
      <c r="AG29" s="61">
        <v>0</v>
      </c>
      <c r="AH29" s="61">
        <v>0</v>
      </c>
      <c r="AI29" s="61">
        <v>0</v>
      </c>
      <c r="AJ29" s="61">
        <f t="shared" si="4"/>
        <v>33</v>
      </c>
      <c r="AK29" s="62">
        <f t="shared" si="15"/>
        <v>4785</v>
      </c>
      <c r="AL29" s="62">
        <f t="shared" si="16"/>
        <v>4785</v>
      </c>
      <c r="AM29" s="62">
        <f t="shared" si="17"/>
        <v>4785</v>
      </c>
      <c r="AN29" s="32">
        <f t="shared" si="6"/>
        <v>145</v>
      </c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</row>
    <row r="30" spans="1:52">
      <c r="A30" s="30">
        <v>28</v>
      </c>
      <c r="B30" s="136" t="s">
        <v>226</v>
      </c>
      <c r="C30" s="136" t="s">
        <v>227</v>
      </c>
      <c r="D30" s="136" t="s">
        <v>9</v>
      </c>
      <c r="E30" s="136" t="s">
        <v>153</v>
      </c>
      <c r="F30" s="136" t="s">
        <v>209</v>
      </c>
      <c r="G30" s="136" t="s">
        <v>168</v>
      </c>
      <c r="H30" s="136">
        <v>473</v>
      </c>
      <c r="I30" s="136" t="s">
        <v>228</v>
      </c>
      <c r="J30" s="4" t="s">
        <v>168</v>
      </c>
      <c r="K30" s="30">
        <v>57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21">
        <f t="shared" si="0"/>
        <v>57</v>
      </c>
      <c r="R30" s="22">
        <f t="shared" si="18"/>
        <v>2850</v>
      </c>
      <c r="S30" s="45">
        <f t="shared" si="12"/>
        <v>2850</v>
      </c>
      <c r="T30" s="30">
        <v>50</v>
      </c>
      <c r="U30" s="30">
        <f>179+89+59.8-19.9475-0.3686</f>
        <v>307.48390000000001</v>
      </c>
      <c r="V30" s="30">
        <v>9</v>
      </c>
      <c r="W30" s="30">
        <f>2900+300</f>
        <v>3200</v>
      </c>
      <c r="X30" s="30">
        <v>0</v>
      </c>
      <c r="Y30" s="30">
        <v>0</v>
      </c>
      <c r="Z30" s="30">
        <v>0</v>
      </c>
      <c r="AA30" s="30">
        <f>1386+130</f>
        <v>1516</v>
      </c>
      <c r="AB30" s="30">
        <v>0</v>
      </c>
      <c r="AC30" s="30">
        <v>0</v>
      </c>
      <c r="AD30" s="30">
        <v>0</v>
      </c>
      <c r="AE30" s="30">
        <v>0</v>
      </c>
      <c r="AF30" s="59">
        <f t="shared" si="14"/>
        <v>0</v>
      </c>
      <c r="AG30" s="30">
        <v>0</v>
      </c>
      <c r="AH30" s="30">
        <v>0</v>
      </c>
      <c r="AI30" s="30">
        <v>0</v>
      </c>
      <c r="AJ30" s="30">
        <f t="shared" si="4"/>
        <v>316.48390000000001</v>
      </c>
      <c r="AK30" s="23">
        <f t="shared" si="15"/>
        <v>15374.195</v>
      </c>
      <c r="AL30" s="23">
        <f t="shared" si="16"/>
        <v>21606.195</v>
      </c>
      <c r="AM30" s="23">
        <f t="shared" si="17"/>
        <v>24456.195</v>
      </c>
      <c r="AN30" s="32">
        <f t="shared" si="6"/>
        <v>50</v>
      </c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</row>
    <row r="31" spans="1:52">
      <c r="A31" s="30">
        <v>29</v>
      </c>
      <c r="B31" s="135">
        <v>45504</v>
      </c>
      <c r="C31" s="136" t="s">
        <v>229</v>
      </c>
      <c r="D31" s="136" t="s">
        <v>9</v>
      </c>
      <c r="E31" s="136" t="s">
        <v>153</v>
      </c>
      <c r="F31" s="136" t="s">
        <v>230</v>
      </c>
      <c r="G31" s="136" t="s">
        <v>168</v>
      </c>
      <c r="H31" s="136">
        <v>472</v>
      </c>
      <c r="I31" s="136" t="s">
        <v>231</v>
      </c>
      <c r="J31" s="4"/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21">
        <f t="shared" si="0"/>
        <v>0</v>
      </c>
      <c r="R31" s="22">
        <f t="shared" si="18"/>
        <v>0</v>
      </c>
      <c r="S31" s="45">
        <f t="shared" si="12"/>
        <v>0</v>
      </c>
      <c r="T31" s="30">
        <v>51</v>
      </c>
      <c r="U31" s="30">
        <v>219</v>
      </c>
      <c r="V31" s="30">
        <v>0</v>
      </c>
      <c r="W31" s="30">
        <f>1400+300</f>
        <v>1700</v>
      </c>
      <c r="X31" s="30">
        <v>0</v>
      </c>
      <c r="Y31" s="30">
        <v>0</v>
      </c>
      <c r="Z31" s="30">
        <v>0</v>
      </c>
      <c r="AA31" s="30">
        <v>400</v>
      </c>
      <c r="AB31" s="30">
        <v>0</v>
      </c>
      <c r="AC31" s="30"/>
      <c r="AD31" s="30">
        <v>0</v>
      </c>
      <c r="AE31" s="30">
        <v>0</v>
      </c>
      <c r="AF31" s="59">
        <f t="shared" si="14"/>
        <v>0</v>
      </c>
      <c r="AG31" s="30">
        <v>0</v>
      </c>
      <c r="AH31" s="30">
        <v>0</v>
      </c>
      <c r="AI31" s="30">
        <v>0</v>
      </c>
      <c r="AJ31" s="30">
        <f t="shared" si="4"/>
        <v>219</v>
      </c>
      <c r="AK31" s="23">
        <f>(U31*T31)</f>
        <v>11169</v>
      </c>
      <c r="AL31" s="23">
        <f>AK31+AI31+AH31+AG31+AF31+AE31+AB31+AC31+AA31+Z31+Y31+X31+W31</f>
        <v>13269</v>
      </c>
      <c r="AM31" s="23">
        <f>S31+AL31</f>
        <v>13269</v>
      </c>
      <c r="AN31" s="32">
        <f t="shared" si="6"/>
        <v>51</v>
      </c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</row>
    <row r="32" spans="1:52">
      <c r="A32" s="30">
        <v>30</v>
      </c>
      <c r="B32" s="135">
        <v>45521</v>
      </c>
      <c r="C32" s="136" t="s">
        <v>232</v>
      </c>
      <c r="D32" s="136" t="s">
        <v>233</v>
      </c>
      <c r="E32" s="136" t="s">
        <v>202</v>
      </c>
      <c r="F32" s="136" t="s">
        <v>209</v>
      </c>
      <c r="G32" s="136" t="s">
        <v>168</v>
      </c>
      <c r="H32" s="136">
        <v>470</v>
      </c>
      <c r="I32" s="136" t="s">
        <v>234</v>
      </c>
      <c r="J32" s="4"/>
      <c r="K32" s="30">
        <v>23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21">
        <f t="shared" si="0"/>
        <v>23</v>
      </c>
      <c r="R32" s="22">
        <f t="shared" si="18"/>
        <v>6900</v>
      </c>
      <c r="S32" s="45">
        <f t="shared" si="12"/>
        <v>6900</v>
      </c>
      <c r="T32" s="30">
        <v>300</v>
      </c>
      <c r="U32" s="30">
        <v>70</v>
      </c>
      <c r="V32" s="30">
        <v>0</v>
      </c>
      <c r="W32" s="30">
        <f>5300+1500</f>
        <v>6800</v>
      </c>
      <c r="X32" s="30">
        <v>0</v>
      </c>
      <c r="Y32" s="30">
        <v>0</v>
      </c>
      <c r="Z32" s="30">
        <v>0</v>
      </c>
      <c r="AA32" s="30">
        <v>250</v>
      </c>
      <c r="AB32" s="30">
        <v>0</v>
      </c>
      <c r="AC32" s="30">
        <v>1000</v>
      </c>
      <c r="AD32" s="30">
        <v>0</v>
      </c>
      <c r="AE32" s="30">
        <v>0</v>
      </c>
      <c r="AF32" s="59">
        <f t="shared" si="14"/>
        <v>0</v>
      </c>
      <c r="AG32" s="30">
        <v>0</v>
      </c>
      <c r="AH32" s="30">
        <v>0</v>
      </c>
      <c r="AI32" s="30">
        <v>5371.84</v>
      </c>
      <c r="AJ32" s="30">
        <f t="shared" si="4"/>
        <v>70</v>
      </c>
      <c r="AK32" s="23">
        <f t="shared" si="15"/>
        <v>21000</v>
      </c>
      <c r="AL32" s="23">
        <f t="shared" ref="AL32:AL94" si="19">AK32+AI32+AH32+AG32+AF32+AE32+AB32+AC32+AA32+Z32+Y32+X32+W32</f>
        <v>34421.839999999997</v>
      </c>
      <c r="AM32" s="23">
        <f t="shared" si="17"/>
        <v>41321.839999999997</v>
      </c>
      <c r="AN32" s="32">
        <f t="shared" si="6"/>
        <v>300</v>
      </c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</row>
    <row r="33" spans="1:52">
      <c r="A33" s="30">
        <v>31</v>
      </c>
      <c r="B33" s="135">
        <v>45500</v>
      </c>
      <c r="C33" s="136" t="s">
        <v>235</v>
      </c>
      <c r="D33" s="136" t="s">
        <v>196</v>
      </c>
      <c r="E33" s="136" t="s">
        <v>236</v>
      </c>
      <c r="F33" s="136" t="s">
        <v>171</v>
      </c>
      <c r="G33" s="136" t="s">
        <v>168</v>
      </c>
      <c r="H33" s="136">
        <v>469</v>
      </c>
      <c r="I33" s="136" t="s">
        <v>197</v>
      </c>
      <c r="J33" s="4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21">
        <f t="shared" si="0"/>
        <v>0</v>
      </c>
      <c r="R33" s="22">
        <f t="shared" si="18"/>
        <v>0</v>
      </c>
      <c r="S33" s="45">
        <f t="shared" si="12"/>
        <v>0</v>
      </c>
      <c r="T33" s="30">
        <v>150</v>
      </c>
      <c r="U33" s="30">
        <v>80</v>
      </c>
      <c r="V33" s="30">
        <v>0</v>
      </c>
      <c r="W33" s="30">
        <f>3800+2280</f>
        <v>6080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59">
        <f t="shared" si="14"/>
        <v>0</v>
      </c>
      <c r="AG33" s="30">
        <v>0</v>
      </c>
      <c r="AH33" s="30">
        <v>0</v>
      </c>
      <c r="AI33" s="30">
        <v>0</v>
      </c>
      <c r="AJ33" s="30">
        <f t="shared" si="4"/>
        <v>80</v>
      </c>
      <c r="AK33" s="23">
        <f t="shared" si="15"/>
        <v>12000</v>
      </c>
      <c r="AL33" s="23">
        <f t="shared" si="19"/>
        <v>18080</v>
      </c>
      <c r="AM33" s="23">
        <f t="shared" si="17"/>
        <v>18080</v>
      </c>
      <c r="AN33" s="32">
        <f t="shared" si="6"/>
        <v>150</v>
      </c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</row>
    <row r="34" spans="1:52">
      <c r="A34" s="30">
        <v>32</v>
      </c>
      <c r="B34" s="135">
        <v>45519</v>
      </c>
      <c r="C34" s="136" t="s">
        <v>237</v>
      </c>
      <c r="D34" s="136" t="s">
        <v>187</v>
      </c>
      <c r="E34" s="136" t="s">
        <v>202</v>
      </c>
      <c r="F34" s="136" t="s">
        <v>209</v>
      </c>
      <c r="G34" s="136" t="s">
        <v>168</v>
      </c>
      <c r="H34" s="136">
        <v>468</v>
      </c>
      <c r="I34" s="136" t="s">
        <v>238</v>
      </c>
      <c r="J34" s="4"/>
      <c r="K34" s="30">
        <v>25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21">
        <f t="shared" si="0"/>
        <v>25</v>
      </c>
      <c r="R34" s="22">
        <f t="shared" si="18"/>
        <v>2500</v>
      </c>
      <c r="S34" s="45">
        <f t="shared" si="12"/>
        <v>2500</v>
      </c>
      <c r="T34" s="30">
        <v>100</v>
      </c>
      <c r="U34" s="30">
        <v>75</v>
      </c>
      <c r="V34" s="30">
        <v>0</v>
      </c>
      <c r="W34" s="30">
        <f>3850+750</f>
        <v>4600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500</v>
      </c>
      <c r="AD34" s="30">
        <v>20</v>
      </c>
      <c r="AE34" s="30">
        <v>100</v>
      </c>
      <c r="AF34" s="59">
        <f t="shared" si="14"/>
        <v>2000</v>
      </c>
      <c r="AG34" s="30">
        <v>0</v>
      </c>
      <c r="AH34" s="30">
        <v>0</v>
      </c>
      <c r="AI34" s="30">
        <f>17356.32-15200</f>
        <v>2156.3199999999997</v>
      </c>
      <c r="AJ34" s="30">
        <f t="shared" si="4"/>
        <v>75</v>
      </c>
      <c r="AK34" s="23">
        <f t="shared" si="15"/>
        <v>7500</v>
      </c>
      <c r="AL34" s="23">
        <f t="shared" si="19"/>
        <v>16856.32</v>
      </c>
      <c r="AM34" s="23">
        <f t="shared" si="17"/>
        <v>19356.32</v>
      </c>
      <c r="AN34" s="32">
        <f t="shared" si="6"/>
        <v>120</v>
      </c>
      <c r="AO34" s="30"/>
      <c r="AP34" s="30"/>
      <c r="AQ34" s="30"/>
      <c r="AR34" s="30"/>
      <c r="AS34" s="30"/>
      <c r="AT34" s="30"/>
      <c r="AU34" s="30"/>
      <c r="AV34" s="30"/>
      <c r="AW34" s="30">
        <v>120</v>
      </c>
      <c r="AX34" s="30"/>
      <c r="AY34" s="30"/>
      <c r="AZ34" s="30"/>
    </row>
    <row r="35" spans="1:52">
      <c r="A35" s="30">
        <v>33</v>
      </c>
      <c r="B35" s="135">
        <v>45499</v>
      </c>
      <c r="C35" s="136" t="s">
        <v>240</v>
      </c>
      <c r="D35" s="136" t="s">
        <v>36</v>
      </c>
      <c r="E35" s="136" t="s">
        <v>151</v>
      </c>
      <c r="F35" s="136" t="s">
        <v>167</v>
      </c>
      <c r="G35" s="136" t="s">
        <v>168</v>
      </c>
      <c r="H35" s="136">
        <v>467</v>
      </c>
      <c r="I35" s="136" t="s">
        <v>36</v>
      </c>
      <c r="J35" s="4"/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21">
        <f t="shared" si="0"/>
        <v>0</v>
      </c>
      <c r="R35" s="22">
        <f t="shared" si="18"/>
        <v>0</v>
      </c>
      <c r="S35" s="45">
        <f t="shared" si="12"/>
        <v>0</v>
      </c>
      <c r="T35" s="30">
        <v>50</v>
      </c>
      <c r="U35" s="30">
        <v>29.9</v>
      </c>
      <c r="V35" s="30">
        <v>0</v>
      </c>
      <c r="W35" s="30">
        <v>460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59">
        <f t="shared" si="14"/>
        <v>0</v>
      </c>
      <c r="AG35" s="30">
        <v>0</v>
      </c>
      <c r="AH35" s="30">
        <v>0</v>
      </c>
      <c r="AI35" s="30">
        <v>0</v>
      </c>
      <c r="AJ35" s="30">
        <f t="shared" si="4"/>
        <v>29.9</v>
      </c>
      <c r="AK35" s="23">
        <f t="shared" si="15"/>
        <v>1495</v>
      </c>
      <c r="AL35" s="23">
        <f t="shared" si="19"/>
        <v>1955</v>
      </c>
      <c r="AM35" s="23">
        <f t="shared" si="17"/>
        <v>1955</v>
      </c>
      <c r="AN35" s="32">
        <f t="shared" si="6"/>
        <v>50</v>
      </c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</row>
    <row r="36" spans="1:52">
      <c r="A36" s="30">
        <v>34</v>
      </c>
      <c r="B36" s="135">
        <v>45517</v>
      </c>
      <c r="C36" s="136" t="s">
        <v>241</v>
      </c>
      <c r="D36" s="136"/>
      <c r="E36" s="136" t="s">
        <v>202</v>
      </c>
      <c r="F36" s="136" t="s">
        <v>167</v>
      </c>
      <c r="G36" s="136" t="s">
        <v>168</v>
      </c>
      <c r="H36" s="136" t="s">
        <v>243</v>
      </c>
      <c r="I36" s="136" t="s">
        <v>242</v>
      </c>
      <c r="J36" s="4"/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21">
        <f t="shared" si="0"/>
        <v>0</v>
      </c>
      <c r="R36" s="22">
        <f t="shared" si="18"/>
        <v>0</v>
      </c>
      <c r="S36" s="45">
        <f t="shared" si="12"/>
        <v>0</v>
      </c>
      <c r="T36" s="30">
        <v>150</v>
      </c>
      <c r="U36" s="30">
        <v>80</v>
      </c>
      <c r="V36" s="30">
        <v>0</v>
      </c>
      <c r="W36" s="30">
        <f>1180</f>
        <v>1180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59">
        <f t="shared" si="14"/>
        <v>0</v>
      </c>
      <c r="AG36" s="30">
        <v>0</v>
      </c>
      <c r="AH36" s="30">
        <v>0</v>
      </c>
      <c r="AI36" s="30">
        <v>0</v>
      </c>
      <c r="AJ36" s="30">
        <f t="shared" si="4"/>
        <v>80</v>
      </c>
      <c r="AK36" s="23">
        <f t="shared" si="15"/>
        <v>12000</v>
      </c>
      <c r="AL36" s="23">
        <f t="shared" si="19"/>
        <v>13180</v>
      </c>
      <c r="AM36" s="23">
        <f t="shared" si="17"/>
        <v>13180</v>
      </c>
      <c r="AN36" s="32">
        <f t="shared" si="6"/>
        <v>150</v>
      </c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</row>
    <row r="37" spans="1:52" s="56" customFormat="1" ht="14.25" customHeight="1">
      <c r="A37" s="60">
        <v>35</v>
      </c>
      <c r="B37" s="137">
        <v>45490</v>
      </c>
      <c r="C37" s="138" t="s">
        <v>207</v>
      </c>
      <c r="D37" s="138" t="s">
        <v>207</v>
      </c>
      <c r="E37" s="138" t="s">
        <v>152</v>
      </c>
      <c r="F37" s="138" t="s">
        <v>167</v>
      </c>
      <c r="G37" s="136" t="s">
        <v>168</v>
      </c>
      <c r="H37" s="138">
        <v>460</v>
      </c>
      <c r="I37" s="138"/>
      <c r="J37" s="49"/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50">
        <f t="shared" si="0"/>
        <v>0</v>
      </c>
      <c r="R37" s="51">
        <f t="shared" si="18"/>
        <v>0</v>
      </c>
      <c r="S37" s="52">
        <f t="shared" si="12"/>
        <v>0</v>
      </c>
      <c r="T37" s="60">
        <v>50</v>
      </c>
      <c r="U37" s="60">
        <v>146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59">
        <f t="shared" si="14"/>
        <v>0</v>
      </c>
      <c r="AG37" s="60">
        <v>0</v>
      </c>
      <c r="AH37" s="60">
        <v>0</v>
      </c>
      <c r="AI37" s="60">
        <v>0</v>
      </c>
      <c r="AJ37" s="60">
        <f t="shared" si="4"/>
        <v>146</v>
      </c>
      <c r="AK37" s="54">
        <f t="shared" si="15"/>
        <v>7300</v>
      </c>
      <c r="AL37" s="54">
        <f t="shared" si="19"/>
        <v>7300</v>
      </c>
      <c r="AM37" s="54">
        <f t="shared" si="17"/>
        <v>7300</v>
      </c>
      <c r="AN37" s="53">
        <f t="shared" si="6"/>
        <v>50</v>
      </c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</row>
    <row r="38" spans="1:52">
      <c r="A38" s="30">
        <v>36</v>
      </c>
      <c r="B38" s="135">
        <v>45498</v>
      </c>
      <c r="C38" s="136" t="s">
        <v>244</v>
      </c>
      <c r="D38" s="136" t="s">
        <v>245</v>
      </c>
      <c r="E38" s="136" t="s">
        <v>152</v>
      </c>
      <c r="F38" s="136" t="s">
        <v>209</v>
      </c>
      <c r="G38" s="136" t="s">
        <v>168</v>
      </c>
      <c r="H38" s="136">
        <v>459</v>
      </c>
      <c r="I38" s="136"/>
      <c r="J38" s="4"/>
      <c r="K38" s="30">
        <v>60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21">
        <f t="shared" si="0"/>
        <v>60</v>
      </c>
      <c r="R38" s="22">
        <f t="shared" si="18"/>
        <v>6600</v>
      </c>
      <c r="S38" s="45">
        <f t="shared" si="12"/>
        <v>6600</v>
      </c>
      <c r="T38" s="30">
        <v>110</v>
      </c>
      <c r="U38" s="30">
        <v>60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59">
        <f t="shared" si="14"/>
        <v>0</v>
      </c>
      <c r="AG38" s="30">
        <v>0</v>
      </c>
      <c r="AH38" s="30">
        <v>0</v>
      </c>
      <c r="AI38" s="30">
        <v>0</v>
      </c>
      <c r="AJ38" s="30">
        <f t="shared" si="4"/>
        <v>60</v>
      </c>
      <c r="AK38" s="23">
        <f t="shared" si="15"/>
        <v>6600</v>
      </c>
      <c r="AL38" s="54">
        <f t="shared" si="19"/>
        <v>6600</v>
      </c>
      <c r="AM38" s="23">
        <f t="shared" si="17"/>
        <v>13200</v>
      </c>
      <c r="AN38" s="32">
        <f t="shared" si="6"/>
        <v>110</v>
      </c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</row>
    <row r="39" spans="1:52" s="56" customFormat="1">
      <c r="A39" s="60">
        <v>37</v>
      </c>
      <c r="B39" s="137">
        <v>45493</v>
      </c>
      <c r="C39" s="138" t="s">
        <v>170</v>
      </c>
      <c r="D39" s="138" t="s">
        <v>20</v>
      </c>
      <c r="E39" s="138" t="s">
        <v>246</v>
      </c>
      <c r="F39" s="138" t="s">
        <v>171</v>
      </c>
      <c r="G39" s="136" t="s">
        <v>168</v>
      </c>
      <c r="H39" s="138">
        <v>458</v>
      </c>
      <c r="I39" s="138"/>
      <c r="J39" s="49"/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50">
        <f t="shared" si="0"/>
        <v>0</v>
      </c>
      <c r="R39" s="51">
        <f t="shared" si="18"/>
        <v>0</v>
      </c>
      <c r="S39" s="45">
        <f t="shared" si="12"/>
        <v>0</v>
      </c>
      <c r="T39" s="60">
        <v>1</v>
      </c>
      <c r="U39" s="60">
        <v>1620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59">
        <f t="shared" si="14"/>
        <v>0</v>
      </c>
      <c r="AG39" s="60">
        <v>0</v>
      </c>
      <c r="AH39" s="60">
        <v>0</v>
      </c>
      <c r="AI39" s="60">
        <v>0</v>
      </c>
      <c r="AJ39" s="60">
        <f t="shared" si="4"/>
        <v>1620</v>
      </c>
      <c r="AK39" s="54">
        <f t="shared" si="15"/>
        <v>1620</v>
      </c>
      <c r="AL39" s="54">
        <f t="shared" si="19"/>
        <v>1620</v>
      </c>
      <c r="AM39" s="54">
        <f t="shared" si="17"/>
        <v>1620</v>
      </c>
      <c r="AN39" s="53">
        <f t="shared" si="6"/>
        <v>1</v>
      </c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</row>
    <row r="40" spans="1:52" s="56" customFormat="1">
      <c r="A40" s="60">
        <v>38</v>
      </c>
      <c r="B40" s="137">
        <v>45464</v>
      </c>
      <c r="C40" s="138" t="s">
        <v>247</v>
      </c>
      <c r="D40" s="138" t="s">
        <v>9</v>
      </c>
      <c r="E40" s="138" t="s">
        <v>151</v>
      </c>
      <c r="F40" s="138" t="s">
        <v>209</v>
      </c>
      <c r="G40" s="138" t="s">
        <v>168</v>
      </c>
      <c r="H40" s="138">
        <v>457</v>
      </c>
      <c r="I40" s="138"/>
      <c r="J40" s="49"/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50">
        <f t="shared" si="0"/>
        <v>0</v>
      </c>
      <c r="R40" s="51">
        <f t="shared" si="18"/>
        <v>0</v>
      </c>
      <c r="S40" s="52">
        <f t="shared" si="12"/>
        <v>0</v>
      </c>
      <c r="T40" s="60">
        <v>1</v>
      </c>
      <c r="U40" s="60">
        <v>10660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3">
        <f t="shared" si="14"/>
        <v>0</v>
      </c>
      <c r="AG40" s="60">
        <v>0</v>
      </c>
      <c r="AH40" s="60">
        <v>0</v>
      </c>
      <c r="AI40" s="60">
        <v>0</v>
      </c>
      <c r="AJ40" s="60">
        <f t="shared" si="4"/>
        <v>10660</v>
      </c>
      <c r="AK40" s="54">
        <f t="shared" si="15"/>
        <v>10660</v>
      </c>
      <c r="AL40" s="54">
        <f t="shared" si="19"/>
        <v>10660</v>
      </c>
      <c r="AM40" s="54">
        <f t="shared" si="17"/>
        <v>10660</v>
      </c>
      <c r="AN40" s="53">
        <f t="shared" si="6"/>
        <v>1</v>
      </c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</row>
    <row r="41" spans="1:52">
      <c r="A41" s="30">
        <v>39</v>
      </c>
      <c r="B41" s="135">
        <v>45498</v>
      </c>
      <c r="C41" s="136" t="s">
        <v>248</v>
      </c>
      <c r="D41" s="136" t="s">
        <v>9</v>
      </c>
      <c r="E41" s="136" t="s">
        <v>151</v>
      </c>
      <c r="F41" s="136" t="s">
        <v>13</v>
      </c>
      <c r="G41" s="136" t="s">
        <v>168</v>
      </c>
      <c r="H41" s="136">
        <v>456</v>
      </c>
      <c r="I41" s="136" t="s">
        <v>249</v>
      </c>
      <c r="J41" s="4"/>
      <c r="K41" s="30">
        <f>27+15+15</f>
        <v>57</v>
      </c>
      <c r="L41" s="30">
        <v>0</v>
      </c>
      <c r="M41" s="30">
        <v>0</v>
      </c>
      <c r="N41" s="30">
        <v>0</v>
      </c>
      <c r="O41" s="30">
        <v>0</v>
      </c>
      <c r="P41" s="30">
        <v>3660</v>
      </c>
      <c r="Q41" s="21">
        <f t="shared" si="0"/>
        <v>57</v>
      </c>
      <c r="R41" s="22">
        <f t="shared" si="18"/>
        <v>22800</v>
      </c>
      <c r="S41" s="45">
        <f t="shared" si="12"/>
        <v>26460</v>
      </c>
      <c r="T41" s="30">
        <v>400</v>
      </c>
      <c r="U41" s="30">
        <f>138.1-17.696+2.6441675-0.393149254</f>
        <v>122.655018246</v>
      </c>
      <c r="V41" s="30">
        <v>0</v>
      </c>
      <c r="W41" s="30">
        <f>4500+10500</f>
        <v>15000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59">
        <f t="shared" si="14"/>
        <v>0</v>
      </c>
      <c r="AG41" s="30">
        <v>0</v>
      </c>
      <c r="AH41" s="30">
        <v>0</v>
      </c>
      <c r="AI41" s="30">
        <v>13549</v>
      </c>
      <c r="AJ41" s="30">
        <f t="shared" si="4"/>
        <v>122.655018246</v>
      </c>
      <c r="AK41" s="23">
        <f t="shared" si="15"/>
        <v>49062.0072984</v>
      </c>
      <c r="AL41" s="54">
        <f t="shared" si="19"/>
        <v>77611.0072984</v>
      </c>
      <c r="AM41" s="23">
        <f t="shared" si="17"/>
        <v>104071.0072984</v>
      </c>
      <c r="AN41" s="32">
        <f t="shared" si="6"/>
        <v>400</v>
      </c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2" s="56" customFormat="1">
      <c r="A42" s="60">
        <v>40</v>
      </c>
      <c r="B42" s="138"/>
      <c r="C42" s="138" t="s">
        <v>250</v>
      </c>
      <c r="D42" s="138" t="s">
        <v>251</v>
      </c>
      <c r="E42" s="138" t="s">
        <v>152</v>
      </c>
      <c r="F42" s="138"/>
      <c r="G42" s="136" t="s">
        <v>168</v>
      </c>
      <c r="H42" s="138">
        <v>451</v>
      </c>
      <c r="I42" s="138" t="s">
        <v>252</v>
      </c>
      <c r="J42" s="49"/>
      <c r="K42" s="60">
        <v>3100</v>
      </c>
      <c r="L42" s="60"/>
      <c r="M42" s="60"/>
      <c r="N42" s="60"/>
      <c r="O42" s="60"/>
      <c r="P42" s="60"/>
      <c r="Q42" s="21">
        <f t="shared" si="0"/>
        <v>3100</v>
      </c>
      <c r="R42" s="22">
        <f t="shared" si="18"/>
        <v>3100</v>
      </c>
      <c r="S42" s="52">
        <f t="shared" si="12"/>
        <v>3100</v>
      </c>
      <c r="T42" s="60">
        <v>1</v>
      </c>
      <c r="U42" s="60">
        <v>3750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59">
        <f t="shared" si="14"/>
        <v>0</v>
      </c>
      <c r="AG42" s="60">
        <v>0</v>
      </c>
      <c r="AH42" s="60">
        <v>0</v>
      </c>
      <c r="AI42" s="60">
        <v>0</v>
      </c>
      <c r="AJ42" s="30">
        <f t="shared" si="4"/>
        <v>3750</v>
      </c>
      <c r="AK42" s="54">
        <f t="shared" si="15"/>
        <v>3750</v>
      </c>
      <c r="AL42" s="54">
        <f t="shared" si="19"/>
        <v>3750</v>
      </c>
      <c r="AM42" s="23">
        <f t="shared" si="17"/>
        <v>6850</v>
      </c>
      <c r="AN42" s="53">
        <f t="shared" si="6"/>
        <v>1</v>
      </c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</row>
    <row r="43" spans="1:52">
      <c r="A43" s="30">
        <v>41</v>
      </c>
      <c r="B43" s="135">
        <v>45484</v>
      </c>
      <c r="C43" s="136" t="s">
        <v>253</v>
      </c>
      <c r="D43" s="136" t="s">
        <v>187</v>
      </c>
      <c r="E43" s="136" t="s">
        <v>202</v>
      </c>
      <c r="F43" s="136" t="s">
        <v>209</v>
      </c>
      <c r="G43" s="136" t="s">
        <v>168</v>
      </c>
      <c r="H43" s="136">
        <v>454</v>
      </c>
      <c r="I43" s="136" t="s">
        <v>187</v>
      </c>
      <c r="J43" s="4"/>
      <c r="K43" s="30">
        <v>20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21">
        <f t="shared" si="0"/>
        <v>20</v>
      </c>
      <c r="R43" s="22">
        <f t="shared" si="18"/>
        <v>600</v>
      </c>
      <c r="S43" s="45">
        <f t="shared" si="12"/>
        <v>600</v>
      </c>
      <c r="T43" s="30">
        <v>30</v>
      </c>
      <c r="U43" s="30">
        <v>45</v>
      </c>
      <c r="V43" s="30">
        <v>0</v>
      </c>
      <c r="W43" s="30">
        <v>1180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59">
        <f t="shared" si="14"/>
        <v>0</v>
      </c>
      <c r="AG43" s="30">
        <v>0</v>
      </c>
      <c r="AH43" s="30">
        <v>0</v>
      </c>
      <c r="AI43" s="30">
        <v>467.70114999999998</v>
      </c>
      <c r="AJ43" s="30">
        <f t="shared" si="4"/>
        <v>45</v>
      </c>
      <c r="AK43" s="54">
        <f t="shared" si="15"/>
        <v>1350</v>
      </c>
      <c r="AL43" s="54">
        <f t="shared" si="19"/>
        <v>2997.7011499999999</v>
      </c>
      <c r="AM43" s="23">
        <f t="shared" si="17"/>
        <v>3597.7011499999999</v>
      </c>
      <c r="AN43" s="32">
        <f t="shared" si="6"/>
        <v>30</v>
      </c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2">
      <c r="A44" s="30">
        <v>42</v>
      </c>
      <c r="B44" s="135">
        <v>45463</v>
      </c>
      <c r="C44" s="136" t="s">
        <v>254</v>
      </c>
      <c r="D44" s="136" t="s">
        <v>36</v>
      </c>
      <c r="E44" s="136" t="s">
        <v>151</v>
      </c>
      <c r="F44" s="136" t="s">
        <v>167</v>
      </c>
      <c r="G44" s="136" t="s">
        <v>168</v>
      </c>
      <c r="H44" s="136">
        <v>450</v>
      </c>
      <c r="I44" s="136" t="s">
        <v>36</v>
      </c>
      <c r="J44" s="4"/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21">
        <f t="shared" si="0"/>
        <v>0</v>
      </c>
      <c r="R44" s="22">
        <f t="shared" si="18"/>
        <v>0</v>
      </c>
      <c r="S44" s="45">
        <f t="shared" si="12"/>
        <v>0</v>
      </c>
      <c r="T44" s="30">
        <v>500</v>
      </c>
      <c r="U44" s="30">
        <v>29</v>
      </c>
      <c r="V44" s="30">
        <v>0</v>
      </c>
      <c r="W44" s="30">
        <v>1100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59">
        <f t="shared" si="14"/>
        <v>0</v>
      </c>
      <c r="AG44" s="30">
        <v>0</v>
      </c>
      <c r="AH44" s="30">
        <v>0</v>
      </c>
      <c r="AI44" s="30"/>
      <c r="AJ44" s="30">
        <f t="shared" si="4"/>
        <v>29</v>
      </c>
      <c r="AK44" s="54">
        <f t="shared" si="15"/>
        <v>14500</v>
      </c>
      <c r="AL44" s="54">
        <f t="shared" si="19"/>
        <v>15600</v>
      </c>
      <c r="AM44" s="23">
        <f t="shared" si="17"/>
        <v>15600</v>
      </c>
      <c r="AN44" s="32">
        <f t="shared" si="6"/>
        <v>500</v>
      </c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2">
      <c r="A45" s="30">
        <v>43</v>
      </c>
      <c r="B45" s="135">
        <v>45487</v>
      </c>
      <c r="C45" s="136" t="s">
        <v>255</v>
      </c>
      <c r="D45" s="136"/>
      <c r="E45" s="136" t="s">
        <v>153</v>
      </c>
      <c r="F45" s="136" t="s">
        <v>156</v>
      </c>
      <c r="G45" s="136" t="s">
        <v>168</v>
      </c>
      <c r="H45" s="136">
        <v>447</v>
      </c>
      <c r="I45" s="136" t="s">
        <v>256</v>
      </c>
      <c r="J45" s="4"/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21">
        <f t="shared" si="0"/>
        <v>0</v>
      </c>
      <c r="R45" s="22">
        <f t="shared" si="18"/>
        <v>0</v>
      </c>
      <c r="S45" s="45">
        <f t="shared" si="12"/>
        <v>0</v>
      </c>
      <c r="T45" s="30">
        <v>62</v>
      </c>
      <c r="U45" s="30">
        <f>125+9.67741935</f>
        <v>134.67741935000001</v>
      </c>
      <c r="V45" s="30">
        <v>0</v>
      </c>
      <c r="W45" s="30">
        <f>1250+300</f>
        <v>1550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59">
        <f t="shared" si="14"/>
        <v>0</v>
      </c>
      <c r="AG45" s="30">
        <v>0</v>
      </c>
      <c r="AH45" s="30">
        <v>0</v>
      </c>
      <c r="AI45" s="30"/>
      <c r="AJ45" s="30">
        <f t="shared" si="4"/>
        <v>134.67741935000001</v>
      </c>
      <c r="AK45" s="54">
        <f t="shared" si="15"/>
        <v>8349.9999997000014</v>
      </c>
      <c r="AL45" s="54">
        <f t="shared" si="19"/>
        <v>9899.9999997000014</v>
      </c>
      <c r="AM45" s="23">
        <f t="shared" si="17"/>
        <v>9899.9999997000014</v>
      </c>
      <c r="AN45" s="32">
        <f t="shared" si="6"/>
        <v>62</v>
      </c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2">
      <c r="A46" s="30">
        <v>44</v>
      </c>
      <c r="B46" s="135">
        <v>45467</v>
      </c>
      <c r="C46" s="136" t="s">
        <v>257</v>
      </c>
      <c r="D46" s="136" t="s">
        <v>187</v>
      </c>
      <c r="E46" s="136" t="s">
        <v>202</v>
      </c>
      <c r="F46" s="136" t="s">
        <v>209</v>
      </c>
      <c r="G46" s="136" t="s">
        <v>168</v>
      </c>
      <c r="H46" s="136">
        <v>445</v>
      </c>
      <c r="I46" s="136" t="s">
        <v>187</v>
      </c>
      <c r="J46" s="4"/>
      <c r="K46" s="30">
        <v>53.333329999999997</v>
      </c>
      <c r="L46" s="30">
        <v>0</v>
      </c>
      <c r="M46" s="30">
        <v>0</v>
      </c>
      <c r="N46" s="30">
        <v>0</v>
      </c>
      <c r="O46" s="30">
        <v>0</v>
      </c>
      <c r="P46" s="30">
        <v>240</v>
      </c>
      <c r="Q46" s="21">
        <f t="shared" si="0"/>
        <v>53.333329999999997</v>
      </c>
      <c r="R46" s="22">
        <f>(K46+L46)*T46</f>
        <v>3199.9997999999996</v>
      </c>
      <c r="S46" s="45">
        <f>R46+P46+O46+N46+M46</f>
        <v>3439.9997999999996</v>
      </c>
      <c r="T46" s="30">
        <v>60</v>
      </c>
      <c r="U46" s="30">
        <f>45</f>
        <v>45</v>
      </c>
      <c r="V46" s="30">
        <v>0</v>
      </c>
      <c r="W46" s="30">
        <f>960+920</f>
        <v>1880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59">
        <f t="shared" si="14"/>
        <v>0</v>
      </c>
      <c r="AG46" s="30"/>
      <c r="AH46" s="30"/>
      <c r="AI46" s="30">
        <v>681.15</v>
      </c>
      <c r="AJ46" s="30">
        <f t="shared" si="4"/>
        <v>45</v>
      </c>
      <c r="AK46" s="54">
        <f t="shared" si="15"/>
        <v>2700</v>
      </c>
      <c r="AL46" s="54">
        <f t="shared" si="19"/>
        <v>5261.15</v>
      </c>
      <c r="AM46" s="23">
        <f t="shared" si="17"/>
        <v>8701.1497999999992</v>
      </c>
      <c r="AN46" s="32">
        <f t="shared" si="6"/>
        <v>60</v>
      </c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2">
      <c r="A47" s="60">
        <v>45</v>
      </c>
      <c r="B47" s="135">
        <v>45464</v>
      </c>
      <c r="C47" s="136" t="s">
        <v>258</v>
      </c>
      <c r="D47" s="136" t="s">
        <v>187</v>
      </c>
      <c r="E47" s="136" t="s">
        <v>202</v>
      </c>
      <c r="F47" s="136" t="s">
        <v>167</v>
      </c>
      <c r="G47" s="136" t="s">
        <v>168</v>
      </c>
      <c r="H47" s="136">
        <v>444</v>
      </c>
      <c r="I47" s="136" t="s">
        <v>187</v>
      </c>
      <c r="J47" s="4"/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21">
        <f t="shared" si="0"/>
        <v>0</v>
      </c>
      <c r="R47" s="22">
        <f t="shared" si="18"/>
        <v>0</v>
      </c>
      <c r="S47" s="45">
        <f t="shared" si="12"/>
        <v>0</v>
      </c>
      <c r="T47" s="30">
        <v>100</v>
      </c>
      <c r="U47" s="30">
        <v>48</v>
      </c>
      <c r="V47" s="30">
        <v>0</v>
      </c>
      <c r="W47" s="30">
        <f>931+1000</f>
        <v>1931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500</v>
      </c>
      <c r="AD47" s="30">
        <v>0</v>
      </c>
      <c r="AE47" s="30">
        <v>0</v>
      </c>
      <c r="AF47" s="59">
        <f t="shared" si="14"/>
        <v>0</v>
      </c>
      <c r="AG47" s="30">
        <v>0</v>
      </c>
      <c r="AH47" s="30">
        <v>0</v>
      </c>
      <c r="AI47" s="30">
        <v>941.41</v>
      </c>
      <c r="AJ47" s="30">
        <f t="shared" si="4"/>
        <v>48</v>
      </c>
      <c r="AK47" s="54">
        <f t="shared" si="15"/>
        <v>4800</v>
      </c>
      <c r="AL47" s="54">
        <f t="shared" si="19"/>
        <v>8172.41</v>
      </c>
      <c r="AM47" s="23">
        <f t="shared" si="17"/>
        <v>8172.41</v>
      </c>
      <c r="AN47" s="32">
        <f t="shared" si="6"/>
        <v>100</v>
      </c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2" s="56" customFormat="1">
      <c r="A48" s="30">
        <v>46</v>
      </c>
      <c r="B48" s="137">
        <v>45463</v>
      </c>
      <c r="C48" s="138" t="s">
        <v>259</v>
      </c>
      <c r="D48" s="138" t="s">
        <v>20</v>
      </c>
      <c r="E48" s="138" t="s">
        <v>152</v>
      </c>
      <c r="F48" s="138" t="s">
        <v>224</v>
      </c>
      <c r="G48" s="136" t="s">
        <v>168</v>
      </c>
      <c r="H48" s="138">
        <v>443</v>
      </c>
      <c r="I48" s="138"/>
      <c r="J48" s="49"/>
      <c r="K48" s="60">
        <v>0</v>
      </c>
      <c r="L48" s="60">
        <v>0</v>
      </c>
      <c r="M48" s="60">
        <v>0</v>
      </c>
      <c r="N48" s="60">
        <v>0</v>
      </c>
      <c r="O48" s="60">
        <v>0</v>
      </c>
      <c r="P48" s="60">
        <v>0</v>
      </c>
      <c r="Q48" s="21">
        <f t="shared" si="0"/>
        <v>0</v>
      </c>
      <c r="R48" s="51">
        <f t="shared" si="18"/>
        <v>0</v>
      </c>
      <c r="S48" s="52">
        <f t="shared" si="12"/>
        <v>0</v>
      </c>
      <c r="T48" s="60">
        <v>1</v>
      </c>
      <c r="U48" s="60">
        <v>6162</v>
      </c>
      <c r="V48" s="60">
        <v>0</v>
      </c>
      <c r="W48" s="60">
        <v>0</v>
      </c>
      <c r="X48" s="60">
        <v>0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59">
        <f t="shared" si="14"/>
        <v>0</v>
      </c>
      <c r="AG48" s="60">
        <v>0</v>
      </c>
      <c r="AH48" s="60">
        <v>0</v>
      </c>
      <c r="AI48" s="60">
        <v>0</v>
      </c>
      <c r="AJ48" s="60">
        <f t="shared" si="4"/>
        <v>6162</v>
      </c>
      <c r="AK48" s="54">
        <f t="shared" si="15"/>
        <v>6162</v>
      </c>
      <c r="AL48" s="54">
        <f t="shared" si="19"/>
        <v>6162</v>
      </c>
      <c r="AM48" s="54">
        <f t="shared" si="17"/>
        <v>6162</v>
      </c>
      <c r="AN48" s="32">
        <f t="shared" si="6"/>
        <v>1</v>
      </c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</row>
    <row r="49" spans="1:52">
      <c r="A49" s="30">
        <v>47</v>
      </c>
      <c r="B49" s="135">
        <v>45466</v>
      </c>
      <c r="C49" s="136" t="s">
        <v>260</v>
      </c>
      <c r="D49" s="136" t="s">
        <v>9</v>
      </c>
      <c r="E49" s="136" t="s">
        <v>153</v>
      </c>
      <c r="F49" s="136" t="s">
        <v>261</v>
      </c>
      <c r="G49" s="136" t="s">
        <v>168</v>
      </c>
      <c r="H49" s="136">
        <v>442</v>
      </c>
      <c r="I49" s="136" t="s">
        <v>262</v>
      </c>
      <c r="J49" s="4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21">
        <f t="shared" si="0"/>
        <v>0</v>
      </c>
      <c r="R49" s="22">
        <f t="shared" si="18"/>
        <v>0</v>
      </c>
      <c r="S49" s="45">
        <f t="shared" si="12"/>
        <v>0</v>
      </c>
      <c r="T49" s="30">
        <v>35</v>
      </c>
      <c r="U49" s="30">
        <f>129-4.1</f>
        <v>124.9</v>
      </c>
      <c r="V49" s="30">
        <v>15.9</v>
      </c>
      <c r="W49" s="30">
        <v>1500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59">
        <f t="shared" si="14"/>
        <v>0</v>
      </c>
      <c r="AG49" s="30">
        <v>0</v>
      </c>
      <c r="AH49" s="30">
        <v>0</v>
      </c>
      <c r="AI49" s="30">
        <v>0</v>
      </c>
      <c r="AJ49" s="60">
        <f t="shared" si="4"/>
        <v>140.80000000000001</v>
      </c>
      <c r="AK49" s="54">
        <f t="shared" si="15"/>
        <v>4371.5</v>
      </c>
      <c r="AL49" s="54">
        <f t="shared" si="19"/>
        <v>5871.5</v>
      </c>
      <c r="AM49" s="23">
        <f t="shared" si="17"/>
        <v>5871.5</v>
      </c>
      <c r="AN49" s="32">
        <f t="shared" si="6"/>
        <v>35</v>
      </c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>
      <c r="A50" s="60">
        <v>48</v>
      </c>
      <c r="B50" s="135">
        <v>45591</v>
      </c>
      <c r="C50" s="136" t="s">
        <v>229</v>
      </c>
      <c r="D50" s="136" t="s">
        <v>9</v>
      </c>
      <c r="E50" s="136" t="s">
        <v>153</v>
      </c>
      <c r="F50" s="136" t="s">
        <v>156</v>
      </c>
      <c r="G50" s="136" t="s">
        <v>168</v>
      </c>
      <c r="H50" s="136">
        <v>440</v>
      </c>
      <c r="I50" s="136" t="s">
        <v>262</v>
      </c>
      <c r="J50" s="4"/>
      <c r="K50" s="30"/>
      <c r="L50" s="30">
        <v>40</v>
      </c>
      <c r="M50" s="30">
        <v>0</v>
      </c>
      <c r="N50" s="30">
        <v>0</v>
      </c>
      <c r="O50" s="30">
        <v>0</v>
      </c>
      <c r="P50" s="30">
        <v>1500</v>
      </c>
      <c r="Q50" s="21">
        <f t="shared" si="0"/>
        <v>40</v>
      </c>
      <c r="R50" s="22">
        <f t="shared" si="18"/>
        <v>2400</v>
      </c>
      <c r="S50" s="45">
        <f t="shared" si="12"/>
        <v>3900</v>
      </c>
      <c r="T50" s="30">
        <v>60</v>
      </c>
      <c r="U50" s="30">
        <f>129+45+24</f>
        <v>198</v>
      </c>
      <c r="V50" s="30">
        <v>24</v>
      </c>
      <c r="W50" s="30">
        <f>500+3480</f>
        <v>3980</v>
      </c>
      <c r="X50" s="30">
        <v>0</v>
      </c>
      <c r="Y50" s="30">
        <v>0</v>
      </c>
      <c r="Z50" s="30">
        <v>0</v>
      </c>
      <c r="AA50" s="30">
        <v>200</v>
      </c>
      <c r="AB50" s="30">
        <v>0</v>
      </c>
      <c r="AC50" s="30">
        <v>0</v>
      </c>
      <c r="AD50" s="30">
        <v>0</v>
      </c>
      <c r="AE50" s="30">
        <v>0</v>
      </c>
      <c r="AF50" s="59">
        <f t="shared" si="14"/>
        <v>0</v>
      </c>
      <c r="AG50" s="30">
        <v>0</v>
      </c>
      <c r="AH50" s="30">
        <v>0</v>
      </c>
      <c r="AI50" s="30">
        <v>0</v>
      </c>
      <c r="AJ50" s="60">
        <f t="shared" si="4"/>
        <v>222</v>
      </c>
      <c r="AK50" s="54">
        <f t="shared" si="15"/>
        <v>11880</v>
      </c>
      <c r="AL50" s="54">
        <f t="shared" si="19"/>
        <v>16060</v>
      </c>
      <c r="AM50" s="23">
        <f t="shared" si="17"/>
        <v>19960</v>
      </c>
      <c r="AN50" s="32">
        <f t="shared" si="6"/>
        <v>60</v>
      </c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s="56" customFormat="1" ht="15.75" customHeight="1">
      <c r="A51" s="60">
        <v>49</v>
      </c>
      <c r="B51" s="137">
        <v>45467</v>
      </c>
      <c r="C51" s="138" t="s">
        <v>263</v>
      </c>
      <c r="D51" s="138" t="s">
        <v>216</v>
      </c>
      <c r="E51" s="138" t="s">
        <v>152</v>
      </c>
      <c r="F51" s="138" t="s">
        <v>56</v>
      </c>
      <c r="G51" s="136" t="s">
        <v>168</v>
      </c>
      <c r="H51" s="138">
        <v>435</v>
      </c>
      <c r="I51" s="138"/>
      <c r="J51" s="49"/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50">
        <f t="shared" si="0"/>
        <v>0</v>
      </c>
      <c r="R51" s="51">
        <f t="shared" si="18"/>
        <v>0</v>
      </c>
      <c r="S51" s="52">
        <f t="shared" si="12"/>
        <v>0</v>
      </c>
      <c r="T51" s="60">
        <v>1</v>
      </c>
      <c r="U51" s="60">
        <v>2612</v>
      </c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59">
        <f t="shared" si="14"/>
        <v>0</v>
      </c>
      <c r="AG51" s="60"/>
      <c r="AH51" s="60"/>
      <c r="AI51" s="60"/>
      <c r="AJ51" s="60">
        <f t="shared" si="4"/>
        <v>2612</v>
      </c>
      <c r="AK51" s="54">
        <f t="shared" si="15"/>
        <v>2612</v>
      </c>
      <c r="AL51" s="54">
        <f t="shared" si="19"/>
        <v>2612</v>
      </c>
      <c r="AM51" s="54">
        <f t="shared" si="17"/>
        <v>2612</v>
      </c>
      <c r="AN51" s="53">
        <f t="shared" si="6"/>
        <v>1</v>
      </c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</row>
    <row r="52" spans="1:52" s="56" customFormat="1">
      <c r="A52" s="60">
        <v>50</v>
      </c>
      <c r="B52" s="138"/>
      <c r="C52" s="138" t="s">
        <v>264</v>
      </c>
      <c r="D52" s="138"/>
      <c r="E52" s="138" t="s">
        <v>246</v>
      </c>
      <c r="F52" s="138" t="s">
        <v>209</v>
      </c>
      <c r="G52" s="136" t="s">
        <v>168</v>
      </c>
      <c r="H52" s="138">
        <v>434</v>
      </c>
      <c r="I52" s="138"/>
      <c r="J52" s="49"/>
      <c r="K52" s="60">
        <v>0</v>
      </c>
      <c r="L52" s="60">
        <v>0</v>
      </c>
      <c r="M52" s="60">
        <v>0</v>
      </c>
      <c r="N52" s="60">
        <v>0</v>
      </c>
      <c r="O52" s="60">
        <v>0</v>
      </c>
      <c r="P52" s="60">
        <v>0</v>
      </c>
      <c r="Q52" s="50">
        <f t="shared" si="0"/>
        <v>0</v>
      </c>
      <c r="R52" s="51">
        <f t="shared" si="18"/>
        <v>0</v>
      </c>
      <c r="S52" s="52">
        <f t="shared" si="12"/>
        <v>0</v>
      </c>
      <c r="T52" s="60">
        <v>1</v>
      </c>
      <c r="U52" s="60">
        <v>6615</v>
      </c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59">
        <f t="shared" si="14"/>
        <v>0</v>
      </c>
      <c r="AG52" s="60"/>
      <c r="AH52" s="60"/>
      <c r="AI52" s="60"/>
      <c r="AJ52" s="60">
        <f t="shared" si="4"/>
        <v>6615</v>
      </c>
      <c r="AK52" s="54">
        <f t="shared" si="15"/>
        <v>6615</v>
      </c>
      <c r="AL52" s="54">
        <f t="shared" si="19"/>
        <v>6615</v>
      </c>
      <c r="AM52" s="54">
        <f t="shared" si="17"/>
        <v>6615</v>
      </c>
      <c r="AN52" s="53">
        <f t="shared" si="6"/>
        <v>1</v>
      </c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</row>
    <row r="53" spans="1:52" s="56" customFormat="1">
      <c r="A53" s="60">
        <v>51</v>
      </c>
      <c r="B53" s="137">
        <v>45454</v>
      </c>
      <c r="C53" s="138" t="s">
        <v>265</v>
      </c>
      <c r="D53" s="138"/>
      <c r="E53" s="138" t="s">
        <v>152</v>
      </c>
      <c r="F53" s="138" t="s">
        <v>209</v>
      </c>
      <c r="G53" s="136" t="s">
        <v>168</v>
      </c>
      <c r="H53" s="138">
        <v>433</v>
      </c>
      <c r="I53" s="138"/>
      <c r="J53" s="49"/>
      <c r="K53" s="60">
        <v>0</v>
      </c>
      <c r="L53" s="60">
        <v>0</v>
      </c>
      <c r="M53" s="60">
        <v>0</v>
      </c>
      <c r="N53" s="60">
        <v>0</v>
      </c>
      <c r="O53" s="60">
        <v>0</v>
      </c>
      <c r="P53" s="60">
        <v>0</v>
      </c>
      <c r="Q53" s="50">
        <f t="shared" si="0"/>
        <v>0</v>
      </c>
      <c r="R53" s="51">
        <f t="shared" si="18"/>
        <v>0</v>
      </c>
      <c r="S53" s="52">
        <f t="shared" si="12"/>
        <v>0</v>
      </c>
      <c r="T53" s="60">
        <v>1</v>
      </c>
      <c r="U53" s="60">
        <v>5787.18</v>
      </c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59">
        <f t="shared" si="14"/>
        <v>0</v>
      </c>
      <c r="AG53" s="60"/>
      <c r="AH53" s="60"/>
      <c r="AI53" s="60"/>
      <c r="AJ53" s="60">
        <f t="shared" si="4"/>
        <v>5787.18</v>
      </c>
      <c r="AK53" s="54">
        <f t="shared" si="15"/>
        <v>5787.18</v>
      </c>
      <c r="AL53" s="54">
        <f t="shared" si="19"/>
        <v>5787.18</v>
      </c>
      <c r="AM53" s="54">
        <f t="shared" si="17"/>
        <v>5787.18</v>
      </c>
      <c r="AN53" s="53">
        <f t="shared" si="6"/>
        <v>1</v>
      </c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</row>
    <row r="54" spans="1:52" s="56" customFormat="1">
      <c r="A54" s="30">
        <v>52</v>
      </c>
      <c r="B54" s="138"/>
      <c r="C54" s="138" t="s">
        <v>266</v>
      </c>
      <c r="D54" s="138" t="s">
        <v>36</v>
      </c>
      <c r="E54" s="138" t="s">
        <v>151</v>
      </c>
      <c r="F54" s="138" t="s">
        <v>167</v>
      </c>
      <c r="G54" s="136" t="s">
        <v>168</v>
      </c>
      <c r="H54" s="138">
        <v>431</v>
      </c>
      <c r="I54" s="138" t="s">
        <v>36</v>
      </c>
      <c r="J54" s="49"/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50">
        <f t="shared" si="0"/>
        <v>0</v>
      </c>
      <c r="R54" s="51">
        <f t="shared" si="18"/>
        <v>0</v>
      </c>
      <c r="S54" s="52">
        <f t="shared" si="12"/>
        <v>0</v>
      </c>
      <c r="T54" s="60">
        <v>1</v>
      </c>
      <c r="U54" s="60">
        <f>522+290+1305</f>
        <v>2117</v>
      </c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59">
        <f t="shared" si="14"/>
        <v>0</v>
      </c>
      <c r="AG54" s="60"/>
      <c r="AH54" s="60"/>
      <c r="AI54" s="60"/>
      <c r="AJ54" s="60">
        <f t="shared" si="4"/>
        <v>2117</v>
      </c>
      <c r="AK54" s="54">
        <f t="shared" si="15"/>
        <v>2117</v>
      </c>
      <c r="AL54" s="54">
        <f t="shared" si="19"/>
        <v>2117</v>
      </c>
      <c r="AM54" s="54">
        <f t="shared" si="17"/>
        <v>2117</v>
      </c>
      <c r="AN54" s="53">
        <f t="shared" si="6"/>
        <v>1</v>
      </c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</row>
    <row r="55" spans="1:52">
      <c r="A55" s="30">
        <v>53</v>
      </c>
      <c r="B55" s="135">
        <v>45498</v>
      </c>
      <c r="C55" s="136" t="s">
        <v>267</v>
      </c>
      <c r="D55" s="136" t="s">
        <v>36</v>
      </c>
      <c r="E55" s="136" t="s">
        <v>151</v>
      </c>
      <c r="F55" s="136" t="s">
        <v>167</v>
      </c>
      <c r="G55" s="136" t="s">
        <v>168</v>
      </c>
      <c r="H55" s="136">
        <v>426</v>
      </c>
      <c r="I55" s="136" t="s">
        <v>36</v>
      </c>
      <c r="J55" s="4"/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21">
        <f t="shared" si="0"/>
        <v>0</v>
      </c>
      <c r="R55" s="51">
        <f t="shared" si="18"/>
        <v>0</v>
      </c>
      <c r="S55" s="52">
        <f t="shared" si="12"/>
        <v>0</v>
      </c>
      <c r="T55" s="30">
        <v>110</v>
      </c>
      <c r="U55" s="30">
        <v>29.9</v>
      </c>
      <c r="V55" s="30">
        <v>0</v>
      </c>
      <c r="W55" s="30">
        <v>920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59">
        <f t="shared" si="14"/>
        <v>0</v>
      </c>
      <c r="AG55" s="30">
        <v>0</v>
      </c>
      <c r="AH55" s="30">
        <v>0</v>
      </c>
      <c r="AI55" s="30">
        <v>0</v>
      </c>
      <c r="AJ55" s="60">
        <f t="shared" si="4"/>
        <v>29.9</v>
      </c>
      <c r="AK55" s="54">
        <f t="shared" si="15"/>
        <v>3289</v>
      </c>
      <c r="AL55" s="54">
        <f t="shared" si="19"/>
        <v>4209</v>
      </c>
      <c r="AM55" s="23">
        <f t="shared" si="17"/>
        <v>4209</v>
      </c>
      <c r="AN55" s="32">
        <f t="shared" si="6"/>
        <v>110</v>
      </c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>
      <c r="A56" s="30">
        <v>54</v>
      </c>
      <c r="B56" s="135">
        <v>45443</v>
      </c>
      <c r="C56" s="136" t="s">
        <v>268</v>
      </c>
      <c r="D56" s="136" t="s">
        <v>9</v>
      </c>
      <c r="E56" s="136" t="s">
        <v>151</v>
      </c>
      <c r="F56" s="136" t="s">
        <v>156</v>
      </c>
      <c r="G56" s="136" t="s">
        <v>168</v>
      </c>
      <c r="H56" s="136">
        <v>425</v>
      </c>
      <c r="I56" s="136"/>
      <c r="J56" s="4"/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21">
        <f t="shared" si="0"/>
        <v>0</v>
      </c>
      <c r="R56" s="51">
        <f t="shared" si="18"/>
        <v>0</v>
      </c>
      <c r="S56" s="52">
        <f t="shared" si="12"/>
        <v>0</v>
      </c>
      <c r="T56" s="30">
        <v>24</v>
      </c>
      <c r="U56" s="30">
        <v>130</v>
      </c>
      <c r="V56" s="30">
        <v>0</v>
      </c>
      <c r="W56" s="30">
        <v>530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59">
        <f t="shared" si="14"/>
        <v>0</v>
      </c>
      <c r="AG56" s="30">
        <v>0</v>
      </c>
      <c r="AH56" s="30">
        <v>0</v>
      </c>
      <c r="AI56" s="30">
        <v>0</v>
      </c>
      <c r="AJ56" s="60">
        <f t="shared" si="4"/>
        <v>130</v>
      </c>
      <c r="AK56" s="54">
        <f t="shared" si="15"/>
        <v>3120</v>
      </c>
      <c r="AL56" s="54">
        <f t="shared" si="19"/>
        <v>3650</v>
      </c>
      <c r="AM56" s="23">
        <f t="shared" si="17"/>
        <v>3650</v>
      </c>
      <c r="AN56" s="32">
        <f t="shared" si="6"/>
        <v>24</v>
      </c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>
      <c r="A57" s="30">
        <v>55</v>
      </c>
      <c r="B57" s="135">
        <v>45428</v>
      </c>
      <c r="C57" s="136" t="s">
        <v>269</v>
      </c>
      <c r="D57" s="136" t="s">
        <v>9</v>
      </c>
      <c r="E57" s="136" t="s">
        <v>202</v>
      </c>
      <c r="F57" s="136" t="s">
        <v>209</v>
      </c>
      <c r="G57" s="136" t="s">
        <v>168</v>
      </c>
      <c r="H57" s="136">
        <v>423</v>
      </c>
      <c r="I57" s="136" t="s">
        <v>270</v>
      </c>
      <c r="J57" s="4"/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21">
        <f t="shared" si="0"/>
        <v>0</v>
      </c>
      <c r="R57" s="51">
        <f t="shared" si="18"/>
        <v>0</v>
      </c>
      <c r="S57" s="52">
        <f t="shared" si="12"/>
        <v>0</v>
      </c>
      <c r="T57" s="30">
        <v>0</v>
      </c>
      <c r="U57" s="30">
        <v>0</v>
      </c>
      <c r="V57" s="30">
        <v>0</v>
      </c>
      <c r="W57" s="30">
        <v>2000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59">
        <f t="shared" si="14"/>
        <v>0</v>
      </c>
      <c r="AG57" s="30">
        <v>0</v>
      </c>
      <c r="AH57" s="30">
        <v>0</v>
      </c>
      <c r="AI57" s="30">
        <v>0</v>
      </c>
      <c r="AJ57" s="60">
        <f t="shared" si="4"/>
        <v>0</v>
      </c>
      <c r="AK57" s="54">
        <f t="shared" si="15"/>
        <v>0</v>
      </c>
      <c r="AL57" s="54">
        <f t="shared" si="19"/>
        <v>2000</v>
      </c>
      <c r="AM57" s="23">
        <f t="shared" si="17"/>
        <v>2000</v>
      </c>
      <c r="AN57" s="32">
        <f t="shared" si="6"/>
        <v>0</v>
      </c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>
      <c r="A58" s="30">
        <v>56</v>
      </c>
      <c r="B58" s="135">
        <v>45419</v>
      </c>
      <c r="C58" s="136" t="s">
        <v>272</v>
      </c>
      <c r="D58" s="136" t="s">
        <v>36</v>
      </c>
      <c r="E58" s="136" t="s">
        <v>151</v>
      </c>
      <c r="F58" s="136" t="s">
        <v>209</v>
      </c>
      <c r="G58" s="136" t="s">
        <v>168</v>
      </c>
      <c r="H58" s="136">
        <v>420</v>
      </c>
      <c r="I58" s="136" t="s">
        <v>36</v>
      </c>
      <c r="J58" s="4"/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21">
        <f t="shared" si="0"/>
        <v>0</v>
      </c>
      <c r="R58" s="51">
        <f t="shared" si="18"/>
        <v>0</v>
      </c>
      <c r="S58" s="52">
        <f t="shared" si="12"/>
        <v>0</v>
      </c>
      <c r="T58" s="30">
        <v>380</v>
      </c>
      <c r="U58" s="30">
        <v>28.9</v>
      </c>
      <c r="V58" s="30">
        <v>0</v>
      </c>
      <c r="W58" s="30">
        <v>1610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59">
        <f t="shared" si="14"/>
        <v>0</v>
      </c>
      <c r="AG58" s="30">
        <v>0</v>
      </c>
      <c r="AH58" s="30">
        <v>0</v>
      </c>
      <c r="AI58" s="30">
        <v>0</v>
      </c>
      <c r="AJ58" s="60">
        <f t="shared" si="4"/>
        <v>28.9</v>
      </c>
      <c r="AK58" s="54">
        <f t="shared" si="15"/>
        <v>10982</v>
      </c>
      <c r="AL58" s="54">
        <f t="shared" si="19"/>
        <v>12592</v>
      </c>
      <c r="AM58" s="23">
        <f t="shared" si="17"/>
        <v>12592</v>
      </c>
      <c r="AN58" s="30">
        <f t="shared" si="6"/>
        <v>380</v>
      </c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>
      <c r="A59" s="30">
        <v>57</v>
      </c>
      <c r="B59" s="135">
        <v>45401</v>
      </c>
      <c r="C59" s="136" t="s">
        <v>273</v>
      </c>
      <c r="D59" s="136" t="s">
        <v>9</v>
      </c>
      <c r="E59" s="136" t="s">
        <v>246</v>
      </c>
      <c r="F59" s="136" t="s">
        <v>209</v>
      </c>
      <c r="G59" s="136" t="s">
        <v>168</v>
      </c>
      <c r="H59" s="136">
        <v>412</v>
      </c>
      <c r="I59" s="136"/>
      <c r="J59" s="4"/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21">
        <f t="shared" si="0"/>
        <v>0</v>
      </c>
      <c r="R59" s="51">
        <f t="shared" si="18"/>
        <v>0</v>
      </c>
      <c r="S59" s="52">
        <f t="shared" si="12"/>
        <v>0</v>
      </c>
      <c r="T59" s="30">
        <v>48</v>
      </c>
      <c r="U59" s="30">
        <v>287.5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59">
        <f t="shared" si="14"/>
        <v>0</v>
      </c>
      <c r="AG59" s="30">
        <v>0</v>
      </c>
      <c r="AH59" s="30">
        <v>0</v>
      </c>
      <c r="AI59" s="30">
        <v>0</v>
      </c>
      <c r="AJ59" s="60">
        <f t="shared" si="4"/>
        <v>287.5</v>
      </c>
      <c r="AK59" s="54">
        <f t="shared" si="15"/>
        <v>13800</v>
      </c>
      <c r="AL59" s="54">
        <f t="shared" si="19"/>
        <v>13800</v>
      </c>
      <c r="AM59" s="23">
        <f t="shared" si="17"/>
        <v>13800</v>
      </c>
      <c r="AN59" s="30">
        <f t="shared" si="6"/>
        <v>48</v>
      </c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>
      <c r="A60" s="30">
        <v>58</v>
      </c>
      <c r="B60" s="135">
        <v>45399</v>
      </c>
      <c r="C60" s="136" t="s">
        <v>274</v>
      </c>
      <c r="D60" s="136"/>
      <c r="E60" s="136" t="s">
        <v>246</v>
      </c>
      <c r="F60" s="136" t="s">
        <v>209</v>
      </c>
      <c r="G60" s="136" t="s">
        <v>168</v>
      </c>
      <c r="H60" s="136">
        <v>411</v>
      </c>
      <c r="I60" s="136"/>
      <c r="J60" s="4"/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21">
        <f t="shared" si="0"/>
        <v>0</v>
      </c>
      <c r="R60" s="51">
        <f t="shared" si="18"/>
        <v>0</v>
      </c>
      <c r="S60" s="52">
        <f t="shared" si="12"/>
        <v>0</v>
      </c>
      <c r="T60" s="30">
        <v>20</v>
      </c>
      <c r="U60" s="30">
        <v>169</v>
      </c>
      <c r="V60" s="30">
        <v>0</v>
      </c>
      <c r="W60" s="30">
        <f>500+300+250</f>
        <v>1050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59">
        <f t="shared" si="14"/>
        <v>0</v>
      </c>
      <c r="AG60" s="30">
        <v>0</v>
      </c>
      <c r="AH60" s="30">
        <v>0</v>
      </c>
      <c r="AI60" s="30">
        <v>0</v>
      </c>
      <c r="AJ60" s="60">
        <f t="shared" si="4"/>
        <v>169</v>
      </c>
      <c r="AK60" s="54">
        <f t="shared" si="15"/>
        <v>3380</v>
      </c>
      <c r="AL60" s="54">
        <f t="shared" si="19"/>
        <v>4430</v>
      </c>
      <c r="AM60" s="23">
        <f t="shared" si="17"/>
        <v>4430</v>
      </c>
      <c r="AN60" s="30">
        <f t="shared" si="6"/>
        <v>20</v>
      </c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>
      <c r="A61" s="30">
        <v>59</v>
      </c>
      <c r="B61" s="135">
        <v>45400</v>
      </c>
      <c r="C61" s="136" t="s">
        <v>275</v>
      </c>
      <c r="D61" s="136"/>
      <c r="E61" s="136" t="s">
        <v>246</v>
      </c>
      <c r="F61" s="136" t="s">
        <v>209</v>
      </c>
      <c r="G61" s="136" t="s">
        <v>168</v>
      </c>
      <c r="H61" s="136">
        <v>410</v>
      </c>
      <c r="I61" s="136"/>
      <c r="J61" s="4"/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21">
        <f t="shared" si="0"/>
        <v>0</v>
      </c>
      <c r="R61" s="51">
        <f t="shared" si="18"/>
        <v>0</v>
      </c>
      <c r="S61" s="52">
        <f t="shared" si="12"/>
        <v>0</v>
      </c>
      <c r="T61" s="30">
        <v>12</v>
      </c>
      <c r="U61" s="30">
        <v>193.91666699999999</v>
      </c>
      <c r="V61" s="30">
        <v>0</v>
      </c>
      <c r="W61" s="30">
        <f>250+300</f>
        <v>550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59">
        <f t="shared" si="14"/>
        <v>0</v>
      </c>
      <c r="AG61" s="30">
        <v>0</v>
      </c>
      <c r="AH61" s="30">
        <v>0</v>
      </c>
      <c r="AI61" s="30">
        <v>0</v>
      </c>
      <c r="AJ61" s="60">
        <f t="shared" si="4"/>
        <v>193.91666699999999</v>
      </c>
      <c r="AK61" s="54">
        <f t="shared" si="15"/>
        <v>2327.000004</v>
      </c>
      <c r="AL61" s="54">
        <f t="shared" si="19"/>
        <v>2877.000004</v>
      </c>
      <c r="AM61" s="23">
        <f t="shared" si="17"/>
        <v>2877.000004</v>
      </c>
      <c r="AN61" s="30">
        <f t="shared" si="6"/>
        <v>12</v>
      </c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>
      <c r="A62" s="30">
        <v>60</v>
      </c>
      <c r="B62" s="135">
        <v>45402</v>
      </c>
      <c r="C62" s="136" t="s">
        <v>276</v>
      </c>
      <c r="D62" s="136" t="s">
        <v>36</v>
      </c>
      <c r="E62" s="136" t="s">
        <v>151</v>
      </c>
      <c r="F62" s="136" t="s">
        <v>167</v>
      </c>
      <c r="G62" s="136" t="s">
        <v>168</v>
      </c>
      <c r="H62" s="136">
        <v>409</v>
      </c>
      <c r="I62" s="136"/>
      <c r="J62" s="4"/>
      <c r="K62" s="30">
        <v>20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21">
        <f t="shared" si="0"/>
        <v>20</v>
      </c>
      <c r="R62" s="51">
        <f t="shared" si="18"/>
        <v>1200</v>
      </c>
      <c r="S62" s="52">
        <f t="shared" si="12"/>
        <v>1200</v>
      </c>
      <c r="T62" s="30">
        <v>60</v>
      </c>
      <c r="U62" s="30">
        <f>55-20</f>
        <v>35</v>
      </c>
      <c r="V62" s="30">
        <v>0</v>
      </c>
      <c r="W62" s="30">
        <v>460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59">
        <f t="shared" si="14"/>
        <v>0</v>
      </c>
      <c r="AG62" s="30">
        <v>0</v>
      </c>
      <c r="AH62" s="30">
        <v>0</v>
      </c>
      <c r="AI62" s="30">
        <v>0</v>
      </c>
      <c r="AJ62" s="60">
        <f t="shared" si="4"/>
        <v>35</v>
      </c>
      <c r="AK62" s="54">
        <f t="shared" si="15"/>
        <v>2100</v>
      </c>
      <c r="AL62" s="54">
        <f t="shared" si="19"/>
        <v>2560</v>
      </c>
      <c r="AM62" s="23">
        <f t="shared" si="17"/>
        <v>3760</v>
      </c>
      <c r="AN62" s="30">
        <f t="shared" si="6"/>
        <v>60</v>
      </c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>
      <c r="A63" s="32">
        <v>61</v>
      </c>
      <c r="B63" s="141">
        <v>45399</v>
      </c>
      <c r="C63" s="142" t="s">
        <v>277</v>
      </c>
      <c r="D63" s="142"/>
      <c r="E63" s="142" t="s">
        <v>152</v>
      </c>
      <c r="F63" s="142" t="s">
        <v>209</v>
      </c>
      <c r="G63" s="142" t="s">
        <v>168</v>
      </c>
      <c r="H63" s="142">
        <v>408</v>
      </c>
      <c r="I63" s="142"/>
      <c r="J63" s="4"/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21">
        <f t="shared" si="0"/>
        <v>0</v>
      </c>
      <c r="R63" s="51">
        <f t="shared" si="18"/>
        <v>0</v>
      </c>
      <c r="S63" s="52">
        <f t="shared" si="12"/>
        <v>0</v>
      </c>
      <c r="T63" s="30">
        <v>50</v>
      </c>
      <c r="U63" s="30">
        <v>40</v>
      </c>
      <c r="V63" s="30">
        <v>0</v>
      </c>
      <c r="W63" s="30">
        <v>300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59">
        <f t="shared" si="14"/>
        <v>0</v>
      </c>
      <c r="AG63" s="30">
        <v>0</v>
      </c>
      <c r="AH63" s="30">
        <v>0</v>
      </c>
      <c r="AI63" s="30">
        <v>0</v>
      </c>
      <c r="AJ63" s="60">
        <f t="shared" si="4"/>
        <v>40</v>
      </c>
      <c r="AK63" s="54">
        <f t="shared" si="15"/>
        <v>2000</v>
      </c>
      <c r="AL63" s="54">
        <f t="shared" si="19"/>
        <v>2300</v>
      </c>
      <c r="AM63" s="23">
        <f t="shared" si="17"/>
        <v>2300</v>
      </c>
      <c r="AN63" s="30">
        <f t="shared" si="6"/>
        <v>50</v>
      </c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s="56" customFormat="1">
      <c r="A64" s="30">
        <v>62</v>
      </c>
      <c r="B64" s="137">
        <v>45394</v>
      </c>
      <c r="C64" s="138" t="s">
        <v>278</v>
      </c>
      <c r="D64" s="138"/>
      <c r="E64" s="138" t="s">
        <v>152</v>
      </c>
      <c r="F64" s="138" t="s">
        <v>209</v>
      </c>
      <c r="G64" s="136" t="s">
        <v>168</v>
      </c>
      <c r="H64" s="138">
        <v>406</v>
      </c>
      <c r="I64" s="138"/>
      <c r="J64" s="49"/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21">
        <f t="shared" si="0"/>
        <v>0</v>
      </c>
      <c r="R64" s="51">
        <f t="shared" si="18"/>
        <v>0</v>
      </c>
      <c r="S64" s="52">
        <f t="shared" si="12"/>
        <v>0</v>
      </c>
      <c r="T64" s="60">
        <v>65</v>
      </c>
      <c r="U64" s="60">
        <v>33.246153800000002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59">
        <f t="shared" si="14"/>
        <v>0</v>
      </c>
      <c r="AG64" s="60">
        <v>0</v>
      </c>
      <c r="AH64" s="60">
        <v>0</v>
      </c>
      <c r="AI64" s="60">
        <v>0</v>
      </c>
      <c r="AJ64" s="60">
        <f t="shared" si="4"/>
        <v>33.246153800000002</v>
      </c>
      <c r="AK64" s="54">
        <f t="shared" si="15"/>
        <v>2160.9999969999999</v>
      </c>
      <c r="AL64" s="54">
        <f t="shared" si="19"/>
        <v>2160.9999969999999</v>
      </c>
      <c r="AM64" s="23">
        <f t="shared" si="17"/>
        <v>2160.9999969999999</v>
      </c>
      <c r="AN64" s="60">
        <f t="shared" si="6"/>
        <v>65</v>
      </c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</row>
    <row r="65" spans="1:52">
      <c r="A65" s="60">
        <v>63</v>
      </c>
      <c r="B65" s="135">
        <v>45376</v>
      </c>
      <c r="C65" s="136" t="s">
        <v>225</v>
      </c>
      <c r="D65" s="136"/>
      <c r="E65" s="136" t="s">
        <v>151</v>
      </c>
      <c r="F65" s="136" t="s">
        <v>167</v>
      </c>
      <c r="G65" s="136" t="s">
        <v>168</v>
      </c>
      <c r="H65" s="136">
        <v>404</v>
      </c>
      <c r="I65" s="136" t="s">
        <v>36</v>
      </c>
      <c r="J65" s="4"/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21">
        <f t="shared" si="0"/>
        <v>0</v>
      </c>
      <c r="R65" s="51">
        <f t="shared" si="18"/>
        <v>0</v>
      </c>
      <c r="S65" s="52">
        <f t="shared" si="12"/>
        <v>0</v>
      </c>
      <c r="T65" s="30">
        <v>140</v>
      </c>
      <c r="U65" s="30">
        <v>49.9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59">
        <f t="shared" si="14"/>
        <v>0</v>
      </c>
      <c r="AG65" s="30">
        <v>0</v>
      </c>
      <c r="AH65" s="30">
        <v>0</v>
      </c>
      <c r="AI65" s="30">
        <v>0</v>
      </c>
      <c r="AJ65" s="60">
        <f t="shared" si="4"/>
        <v>49.9</v>
      </c>
      <c r="AK65" s="54">
        <f t="shared" si="15"/>
        <v>6986</v>
      </c>
      <c r="AL65" s="54">
        <f t="shared" si="19"/>
        <v>6986</v>
      </c>
      <c r="AM65" s="23">
        <f t="shared" si="17"/>
        <v>6986</v>
      </c>
      <c r="AN65" s="30">
        <f t="shared" si="6"/>
        <v>140</v>
      </c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s="56" customFormat="1">
      <c r="A66" s="30">
        <v>64</v>
      </c>
      <c r="B66" s="137">
        <v>45375</v>
      </c>
      <c r="C66" s="138" t="s">
        <v>279</v>
      </c>
      <c r="D66" s="138" t="s">
        <v>233</v>
      </c>
      <c r="E66" s="138" t="s">
        <v>202</v>
      </c>
      <c r="F66" s="138" t="s">
        <v>167</v>
      </c>
      <c r="G66" s="136" t="s">
        <v>168</v>
      </c>
      <c r="H66" s="138">
        <v>402</v>
      </c>
      <c r="I66" s="138"/>
      <c r="J66" s="49"/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21">
        <f t="shared" ref="Q66:Q124" si="20">K66+L66</f>
        <v>0</v>
      </c>
      <c r="R66" s="51">
        <f t="shared" si="18"/>
        <v>0</v>
      </c>
      <c r="S66" s="52">
        <f t="shared" si="12"/>
        <v>0</v>
      </c>
      <c r="T66" s="60">
        <v>1</v>
      </c>
      <c r="U66" s="60">
        <v>4000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1646.55</v>
      </c>
      <c r="AB66" s="60">
        <v>0</v>
      </c>
      <c r="AC66" s="60">
        <v>0</v>
      </c>
      <c r="AD66" s="60">
        <v>0</v>
      </c>
      <c r="AE66" s="60">
        <v>0</v>
      </c>
      <c r="AF66" s="59">
        <f t="shared" si="14"/>
        <v>0</v>
      </c>
      <c r="AG66" s="60">
        <v>0</v>
      </c>
      <c r="AH66" s="60">
        <v>0</v>
      </c>
      <c r="AI66" s="60">
        <v>0</v>
      </c>
      <c r="AJ66" s="60">
        <f t="shared" si="4"/>
        <v>4000</v>
      </c>
      <c r="AK66" s="54">
        <f t="shared" si="15"/>
        <v>4000</v>
      </c>
      <c r="AL66" s="54">
        <f t="shared" si="19"/>
        <v>5646.55</v>
      </c>
      <c r="AM66" s="54">
        <f t="shared" si="17"/>
        <v>5646.55</v>
      </c>
      <c r="AN66" s="60">
        <f t="shared" si="6"/>
        <v>1</v>
      </c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</row>
    <row r="67" spans="1:52">
      <c r="A67" s="30">
        <v>65</v>
      </c>
      <c r="B67" s="135">
        <v>45479</v>
      </c>
      <c r="C67" s="136" t="s">
        <v>280</v>
      </c>
      <c r="D67" s="136" t="s">
        <v>20</v>
      </c>
      <c r="E67" s="136" t="s">
        <v>152</v>
      </c>
      <c r="F67" s="136" t="s">
        <v>24</v>
      </c>
      <c r="G67" s="136" t="s">
        <v>168</v>
      </c>
      <c r="H67" s="136">
        <v>401</v>
      </c>
      <c r="I67" s="136" t="s">
        <v>281</v>
      </c>
      <c r="J67" s="4"/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21">
        <f t="shared" si="20"/>
        <v>0</v>
      </c>
      <c r="R67" s="51">
        <f t="shared" si="18"/>
        <v>0</v>
      </c>
      <c r="S67" s="52">
        <f t="shared" si="12"/>
        <v>0</v>
      </c>
      <c r="T67" s="30">
        <v>480</v>
      </c>
      <c r="U67" s="30">
        <v>114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59">
        <f t="shared" si="14"/>
        <v>0</v>
      </c>
      <c r="AG67" s="30">
        <v>0</v>
      </c>
      <c r="AH67" s="30">
        <v>0</v>
      </c>
      <c r="AI67" s="30">
        <v>0</v>
      </c>
      <c r="AJ67" s="60">
        <f t="shared" ref="AJ67:AJ104" si="21">U67+V67</f>
        <v>114</v>
      </c>
      <c r="AK67" s="54">
        <f t="shared" si="15"/>
        <v>54720</v>
      </c>
      <c r="AL67" s="54">
        <f t="shared" si="19"/>
        <v>54720</v>
      </c>
      <c r="AM67" s="23">
        <f t="shared" si="17"/>
        <v>54720</v>
      </c>
      <c r="AN67" s="30">
        <f t="shared" ref="AN67:AN125" si="22">AD67+T67</f>
        <v>480</v>
      </c>
      <c r="AO67" s="30"/>
      <c r="AP67" s="30"/>
      <c r="AQ67" s="30"/>
      <c r="AR67" s="30"/>
      <c r="AS67" s="30">
        <v>5472</v>
      </c>
      <c r="AT67" s="30"/>
      <c r="AU67" s="30"/>
      <c r="AV67" s="30"/>
      <c r="AW67" s="30"/>
      <c r="AX67" s="30"/>
      <c r="AY67" s="30"/>
      <c r="AZ67" s="30"/>
    </row>
    <row r="68" spans="1:52">
      <c r="A68" s="30">
        <v>66</v>
      </c>
      <c r="B68" s="135">
        <v>45376</v>
      </c>
      <c r="C68" s="136" t="s">
        <v>282</v>
      </c>
      <c r="D68" s="136"/>
      <c r="E68" s="136" t="s">
        <v>152</v>
      </c>
      <c r="F68" s="136" t="s">
        <v>209</v>
      </c>
      <c r="G68" s="136" t="s">
        <v>168</v>
      </c>
      <c r="H68" s="136">
        <v>399</v>
      </c>
      <c r="I68" s="136" t="s">
        <v>282</v>
      </c>
      <c r="J68" s="4"/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21">
        <f t="shared" si="20"/>
        <v>0</v>
      </c>
      <c r="R68" s="51">
        <f t="shared" si="18"/>
        <v>0</v>
      </c>
      <c r="S68" s="52">
        <f t="shared" si="12"/>
        <v>0</v>
      </c>
      <c r="T68" s="30">
        <v>30</v>
      </c>
      <c r="U68" s="30">
        <v>66</v>
      </c>
      <c r="V68" s="30">
        <v>0</v>
      </c>
      <c r="W68" s="71">
        <f>2000-AK68</f>
        <v>20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59">
        <f t="shared" si="14"/>
        <v>0</v>
      </c>
      <c r="AG68" s="30">
        <v>0</v>
      </c>
      <c r="AH68" s="30">
        <v>0</v>
      </c>
      <c r="AI68" s="30">
        <v>0</v>
      </c>
      <c r="AJ68" s="60">
        <f t="shared" si="21"/>
        <v>66</v>
      </c>
      <c r="AK68" s="54">
        <f t="shared" si="15"/>
        <v>1980</v>
      </c>
      <c r="AL68" s="54">
        <f t="shared" si="19"/>
        <v>2000</v>
      </c>
      <c r="AM68" s="23">
        <f t="shared" si="17"/>
        <v>2000</v>
      </c>
      <c r="AN68" s="30">
        <f t="shared" si="22"/>
        <v>30</v>
      </c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>
      <c r="A69" s="30">
        <v>67</v>
      </c>
      <c r="B69" s="135">
        <v>45409</v>
      </c>
      <c r="C69" s="136" t="s">
        <v>283</v>
      </c>
      <c r="D69" s="136"/>
      <c r="E69" s="136" t="s">
        <v>152</v>
      </c>
      <c r="F69" s="136" t="s">
        <v>209</v>
      </c>
      <c r="G69" s="136" t="s">
        <v>168</v>
      </c>
      <c r="H69" s="136">
        <v>398</v>
      </c>
      <c r="I69" s="136"/>
      <c r="J69" s="4"/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21">
        <f t="shared" si="20"/>
        <v>0</v>
      </c>
      <c r="R69" s="51">
        <f t="shared" si="18"/>
        <v>0</v>
      </c>
      <c r="S69" s="52">
        <f t="shared" si="12"/>
        <v>0</v>
      </c>
      <c r="T69" s="30">
        <v>15</v>
      </c>
      <c r="U69" s="30">
        <v>189</v>
      </c>
      <c r="V69" s="30"/>
      <c r="W69" s="30">
        <f>500+300</f>
        <v>800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59">
        <f t="shared" si="14"/>
        <v>0</v>
      </c>
      <c r="AG69" s="30">
        <v>0</v>
      </c>
      <c r="AH69" s="30">
        <v>0</v>
      </c>
      <c r="AI69" s="30">
        <v>0</v>
      </c>
      <c r="AJ69" s="60">
        <f t="shared" si="21"/>
        <v>189</v>
      </c>
      <c r="AK69" s="54">
        <f t="shared" si="15"/>
        <v>2835</v>
      </c>
      <c r="AL69" s="54">
        <f t="shared" si="19"/>
        <v>3635</v>
      </c>
      <c r="AM69" s="23">
        <f t="shared" si="17"/>
        <v>3635</v>
      </c>
      <c r="AN69" s="30">
        <f t="shared" si="22"/>
        <v>15</v>
      </c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>
      <c r="A70" s="30">
        <v>68</v>
      </c>
      <c r="B70" s="135">
        <v>45374</v>
      </c>
      <c r="C70" s="136" t="s">
        <v>284</v>
      </c>
      <c r="D70" s="136" t="s">
        <v>285</v>
      </c>
      <c r="E70" s="136" t="s">
        <v>202</v>
      </c>
      <c r="F70" s="136" t="s">
        <v>209</v>
      </c>
      <c r="G70" s="136" t="s">
        <v>168</v>
      </c>
      <c r="H70" s="136">
        <v>397</v>
      </c>
      <c r="I70" s="136" t="s">
        <v>262</v>
      </c>
      <c r="J70" s="4"/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21">
        <f t="shared" si="20"/>
        <v>0</v>
      </c>
      <c r="R70" s="51">
        <f t="shared" si="18"/>
        <v>0</v>
      </c>
      <c r="S70" s="52">
        <f t="shared" si="12"/>
        <v>0</v>
      </c>
      <c r="T70" s="30">
        <v>100</v>
      </c>
      <c r="U70" s="30">
        <v>107.5</v>
      </c>
      <c r="V70" s="30">
        <v>0</v>
      </c>
      <c r="W70" s="30">
        <f>250*5</f>
        <v>1250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59">
        <f t="shared" si="14"/>
        <v>0</v>
      </c>
      <c r="AG70" s="30">
        <v>0</v>
      </c>
      <c r="AH70" s="30">
        <v>0</v>
      </c>
      <c r="AI70" s="30">
        <v>0</v>
      </c>
      <c r="AJ70" s="60">
        <f t="shared" si="21"/>
        <v>107.5</v>
      </c>
      <c r="AK70" s="54">
        <f t="shared" si="15"/>
        <v>10750</v>
      </c>
      <c r="AL70" s="54">
        <f t="shared" si="19"/>
        <v>12000</v>
      </c>
      <c r="AM70" s="23">
        <f t="shared" si="17"/>
        <v>12000</v>
      </c>
      <c r="AN70" s="30">
        <f t="shared" si="22"/>
        <v>100</v>
      </c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>
      <c r="A71" s="30">
        <v>69</v>
      </c>
      <c r="B71" s="135">
        <v>45374</v>
      </c>
      <c r="C71" s="136" t="s">
        <v>286</v>
      </c>
      <c r="D71" s="136" t="s">
        <v>15</v>
      </c>
      <c r="E71" s="136" t="s">
        <v>152</v>
      </c>
      <c r="F71" s="136" t="s">
        <v>171</v>
      </c>
      <c r="G71" s="136" t="s">
        <v>168</v>
      </c>
      <c r="H71" s="136">
        <v>395</v>
      </c>
      <c r="I71" s="136"/>
      <c r="J71" s="4"/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21">
        <f t="shared" si="20"/>
        <v>0</v>
      </c>
      <c r="R71" s="51">
        <f t="shared" si="18"/>
        <v>0</v>
      </c>
      <c r="S71" s="52">
        <f t="shared" si="12"/>
        <v>0</v>
      </c>
      <c r="T71" s="30">
        <v>145</v>
      </c>
      <c r="U71" s="30">
        <v>70</v>
      </c>
      <c r="V71" s="30">
        <v>0</v>
      </c>
      <c r="W71" s="30"/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59">
        <f t="shared" si="14"/>
        <v>0</v>
      </c>
      <c r="AG71" s="30">
        <v>0</v>
      </c>
      <c r="AH71" s="30">
        <v>0</v>
      </c>
      <c r="AI71" s="30">
        <v>0</v>
      </c>
      <c r="AJ71" s="60">
        <f t="shared" si="21"/>
        <v>70</v>
      </c>
      <c r="AK71" s="54">
        <f t="shared" si="15"/>
        <v>10150</v>
      </c>
      <c r="AL71" s="54">
        <f t="shared" si="19"/>
        <v>10150</v>
      </c>
      <c r="AM71" s="23">
        <f t="shared" si="17"/>
        <v>10150</v>
      </c>
      <c r="AN71" s="30">
        <f t="shared" si="22"/>
        <v>145</v>
      </c>
      <c r="AO71" s="30">
        <v>0</v>
      </c>
      <c r="AP71" s="30">
        <v>0</v>
      </c>
      <c r="AQ71" s="30">
        <v>0</v>
      </c>
      <c r="AR71" s="71">
        <f>AM71*10%</f>
        <v>1015</v>
      </c>
      <c r="AS71" s="30">
        <v>0</v>
      </c>
      <c r="AT71" s="30">
        <v>0</v>
      </c>
      <c r="AU71" s="30"/>
      <c r="AV71" s="30"/>
      <c r="AW71" s="30"/>
      <c r="AX71" s="30"/>
      <c r="AY71" s="30"/>
      <c r="AZ71" s="30"/>
    </row>
    <row r="72" spans="1:52">
      <c r="A72" s="30">
        <v>70</v>
      </c>
      <c r="B72" s="135">
        <v>45370</v>
      </c>
      <c r="C72" s="136" t="s">
        <v>284</v>
      </c>
      <c r="D72" s="136" t="s">
        <v>285</v>
      </c>
      <c r="E72" s="136" t="s">
        <v>151</v>
      </c>
      <c r="F72" s="136" t="s">
        <v>209</v>
      </c>
      <c r="G72" s="136" t="s">
        <v>168</v>
      </c>
      <c r="H72" s="136">
        <v>394</v>
      </c>
      <c r="I72" s="136" t="s">
        <v>262</v>
      </c>
      <c r="J72" s="4"/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21">
        <f t="shared" si="20"/>
        <v>0</v>
      </c>
      <c r="R72" s="51">
        <f t="shared" si="18"/>
        <v>0</v>
      </c>
      <c r="S72" s="52">
        <f t="shared" si="12"/>
        <v>0</v>
      </c>
      <c r="T72" s="30">
        <v>200</v>
      </c>
      <c r="U72" s="30">
        <v>152.5</v>
      </c>
      <c r="V72" s="30">
        <v>0</v>
      </c>
      <c r="W72" s="30">
        <f>500+3*250+250</f>
        <v>1500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59">
        <f t="shared" si="14"/>
        <v>0</v>
      </c>
      <c r="AG72" s="30">
        <v>0</v>
      </c>
      <c r="AH72" s="30">
        <v>0</v>
      </c>
      <c r="AI72" s="30">
        <v>0</v>
      </c>
      <c r="AJ72" s="60">
        <f t="shared" si="21"/>
        <v>152.5</v>
      </c>
      <c r="AK72" s="54">
        <f t="shared" si="15"/>
        <v>30500</v>
      </c>
      <c r="AL72" s="54">
        <f t="shared" si="19"/>
        <v>32000</v>
      </c>
      <c r="AM72" s="23">
        <f t="shared" si="17"/>
        <v>32000</v>
      </c>
      <c r="AN72" s="30">
        <f t="shared" si="22"/>
        <v>200</v>
      </c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</row>
    <row r="73" spans="1:52">
      <c r="A73" s="30">
        <v>71</v>
      </c>
      <c r="B73" s="135">
        <v>45367</v>
      </c>
      <c r="C73" s="136" t="s">
        <v>286</v>
      </c>
      <c r="D73" s="136" t="s">
        <v>15</v>
      </c>
      <c r="E73" s="136" t="s">
        <v>152</v>
      </c>
      <c r="F73" s="136" t="s">
        <v>171</v>
      </c>
      <c r="G73" s="136" t="s">
        <v>168</v>
      </c>
      <c r="H73" s="136">
        <v>393</v>
      </c>
      <c r="I73" s="136"/>
      <c r="J73" s="4"/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21">
        <f t="shared" si="20"/>
        <v>0</v>
      </c>
      <c r="R73" s="51">
        <f t="shared" si="18"/>
        <v>0</v>
      </c>
      <c r="S73" s="52">
        <f t="shared" si="12"/>
        <v>0</v>
      </c>
      <c r="T73" s="30">
        <v>89</v>
      </c>
      <c r="U73" s="30">
        <v>89.898876404000006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59">
        <f t="shared" si="14"/>
        <v>0</v>
      </c>
      <c r="AG73" s="30">
        <v>0</v>
      </c>
      <c r="AH73" s="30">
        <v>0</v>
      </c>
      <c r="AI73" s="30">
        <v>0</v>
      </c>
      <c r="AJ73" s="60">
        <f t="shared" si="21"/>
        <v>89.898876404000006</v>
      </c>
      <c r="AK73" s="54">
        <f t="shared" si="15"/>
        <v>8000.9999999560005</v>
      </c>
      <c r="AL73" s="54">
        <f t="shared" si="19"/>
        <v>8000.9999999560005</v>
      </c>
      <c r="AM73" s="23">
        <f t="shared" si="17"/>
        <v>8000.9999999560005</v>
      </c>
      <c r="AN73" s="30">
        <f t="shared" si="22"/>
        <v>89</v>
      </c>
      <c r="AO73" s="30">
        <v>0</v>
      </c>
      <c r="AP73" s="30">
        <v>0</v>
      </c>
      <c r="AQ73" s="30">
        <v>0</v>
      </c>
      <c r="AR73" s="71">
        <f>AM73*10%</f>
        <v>800.09999999560011</v>
      </c>
      <c r="AS73" s="30"/>
      <c r="AT73" s="30"/>
      <c r="AU73" s="30"/>
      <c r="AV73" s="30"/>
      <c r="AW73" s="30"/>
      <c r="AX73" s="30"/>
      <c r="AY73" s="30"/>
      <c r="AZ73" s="30"/>
    </row>
    <row r="74" spans="1:52">
      <c r="A74" s="30">
        <v>72</v>
      </c>
      <c r="B74" s="135">
        <v>45407</v>
      </c>
      <c r="C74" s="136" t="s">
        <v>287</v>
      </c>
      <c r="D74" s="136" t="s">
        <v>36</v>
      </c>
      <c r="E74" s="136" t="s">
        <v>151</v>
      </c>
      <c r="F74" s="136" t="s">
        <v>56</v>
      </c>
      <c r="G74" s="136" t="s">
        <v>168</v>
      </c>
      <c r="H74" s="136">
        <v>392</v>
      </c>
      <c r="I74" s="136"/>
      <c r="J74" s="4"/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21">
        <f t="shared" si="20"/>
        <v>0</v>
      </c>
      <c r="R74" s="51">
        <f t="shared" si="18"/>
        <v>0</v>
      </c>
      <c r="S74" s="52">
        <f t="shared" si="12"/>
        <v>0</v>
      </c>
      <c r="T74" s="30">
        <v>36</v>
      </c>
      <c r="U74" s="30">
        <v>44.819444400000002</v>
      </c>
      <c r="V74" s="30">
        <v>0</v>
      </c>
      <c r="W74" s="30">
        <v>230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59">
        <f t="shared" si="14"/>
        <v>0</v>
      </c>
      <c r="AG74" s="30">
        <v>0</v>
      </c>
      <c r="AH74" s="30">
        <v>0</v>
      </c>
      <c r="AI74" s="30">
        <v>0</v>
      </c>
      <c r="AJ74" s="60">
        <f t="shared" si="21"/>
        <v>44.819444400000002</v>
      </c>
      <c r="AK74" s="54">
        <f t="shared" si="15"/>
        <v>1613.4999984000001</v>
      </c>
      <c r="AL74" s="54">
        <f t="shared" si="19"/>
        <v>1843.4999984000001</v>
      </c>
      <c r="AM74" s="23">
        <f t="shared" si="17"/>
        <v>1843.4999984000001</v>
      </c>
      <c r="AN74" s="30">
        <f t="shared" si="22"/>
        <v>36</v>
      </c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</row>
    <row r="75" spans="1:52" s="56" customFormat="1">
      <c r="A75" s="56">
        <v>73</v>
      </c>
      <c r="B75" s="137">
        <v>45372</v>
      </c>
      <c r="C75" s="138" t="s">
        <v>217</v>
      </c>
      <c r="D75" s="138" t="s">
        <v>216</v>
      </c>
      <c r="E75" s="138" t="s">
        <v>152</v>
      </c>
      <c r="F75" s="138" t="s">
        <v>209</v>
      </c>
      <c r="G75" s="138" t="s">
        <v>168</v>
      </c>
      <c r="H75" s="138">
        <v>391</v>
      </c>
      <c r="I75" s="138"/>
      <c r="J75" s="49"/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50">
        <f t="shared" si="20"/>
        <v>0</v>
      </c>
      <c r="R75" s="51">
        <f t="shared" si="18"/>
        <v>0</v>
      </c>
      <c r="S75" s="52">
        <f t="shared" si="12"/>
        <v>0</v>
      </c>
      <c r="T75" s="60">
        <v>1</v>
      </c>
      <c r="U75" s="60">
        <v>10235</v>
      </c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3">
        <f t="shared" si="14"/>
        <v>0</v>
      </c>
      <c r="AG75" s="60"/>
      <c r="AH75" s="60"/>
      <c r="AI75" s="60"/>
      <c r="AJ75" s="60">
        <f t="shared" si="21"/>
        <v>10235</v>
      </c>
      <c r="AK75" s="54">
        <f t="shared" si="15"/>
        <v>10235</v>
      </c>
      <c r="AL75" s="54">
        <f t="shared" si="19"/>
        <v>10235</v>
      </c>
      <c r="AM75" s="54">
        <f t="shared" si="17"/>
        <v>10235</v>
      </c>
      <c r="AN75" s="60">
        <f t="shared" si="22"/>
        <v>1</v>
      </c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</row>
    <row r="76" spans="1:52">
      <c r="A76" s="60">
        <v>74</v>
      </c>
      <c r="B76" s="135">
        <v>45369</v>
      </c>
      <c r="C76" s="136" t="s">
        <v>284</v>
      </c>
      <c r="D76" s="136" t="s">
        <v>285</v>
      </c>
      <c r="E76" s="136" t="s">
        <v>151</v>
      </c>
      <c r="F76" s="136" t="s">
        <v>209</v>
      </c>
      <c r="G76" s="136" t="s">
        <v>168</v>
      </c>
      <c r="H76" s="136">
        <v>390</v>
      </c>
      <c r="I76" s="136"/>
      <c r="J76" s="4"/>
      <c r="K76" s="30">
        <v>25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21">
        <f t="shared" si="20"/>
        <v>25</v>
      </c>
      <c r="R76" s="51">
        <f t="shared" si="18"/>
        <v>1500</v>
      </c>
      <c r="S76" s="52">
        <f t="shared" ref="S76:S133" si="23">R76+P76+O76+N76+M76</f>
        <v>1500</v>
      </c>
      <c r="T76" s="30">
        <v>60</v>
      </c>
      <c r="U76" s="30">
        <f>70-4.33</f>
        <v>65.67</v>
      </c>
      <c r="V76" s="30">
        <v>0</v>
      </c>
      <c r="W76" s="30">
        <v>660</v>
      </c>
      <c r="X76" s="30">
        <v>0</v>
      </c>
      <c r="Y76" s="30">
        <v>0</v>
      </c>
      <c r="Z76" s="30">
        <v>0</v>
      </c>
      <c r="AA76" s="30">
        <v>500</v>
      </c>
      <c r="AB76" s="30">
        <v>0</v>
      </c>
      <c r="AC76" s="30">
        <v>0</v>
      </c>
      <c r="AD76" s="30">
        <v>0</v>
      </c>
      <c r="AE76" s="30">
        <v>0</v>
      </c>
      <c r="AF76" s="59">
        <f t="shared" si="14"/>
        <v>0</v>
      </c>
      <c r="AG76" s="30">
        <v>0</v>
      </c>
      <c r="AH76" s="30">
        <v>0</v>
      </c>
      <c r="AI76" s="30">
        <v>0</v>
      </c>
      <c r="AJ76" s="60">
        <f t="shared" si="21"/>
        <v>65.67</v>
      </c>
      <c r="AK76" s="54">
        <f t="shared" si="15"/>
        <v>3940.2000000000003</v>
      </c>
      <c r="AL76" s="54">
        <f t="shared" si="19"/>
        <v>5100.2000000000007</v>
      </c>
      <c r="AM76" s="23">
        <f t="shared" si="17"/>
        <v>6600.2000000000007</v>
      </c>
      <c r="AN76" s="30">
        <f t="shared" si="22"/>
        <v>60</v>
      </c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</row>
    <row r="77" spans="1:52">
      <c r="A77" s="30">
        <v>75</v>
      </c>
      <c r="B77" s="135">
        <v>45365</v>
      </c>
      <c r="C77" s="136" t="s">
        <v>284</v>
      </c>
      <c r="D77" s="136" t="s">
        <v>285</v>
      </c>
      <c r="E77" s="136" t="s">
        <v>151</v>
      </c>
      <c r="F77" s="136" t="s">
        <v>209</v>
      </c>
      <c r="G77" s="136" t="s">
        <v>168</v>
      </c>
      <c r="H77" s="136">
        <v>389</v>
      </c>
      <c r="I77" s="136"/>
      <c r="J77" s="4"/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21">
        <f t="shared" si="20"/>
        <v>0</v>
      </c>
      <c r="R77" s="51">
        <f t="shared" si="18"/>
        <v>0</v>
      </c>
      <c r="S77" s="52">
        <f t="shared" si="23"/>
        <v>0</v>
      </c>
      <c r="T77" s="30">
        <v>45</v>
      </c>
      <c r="U77" s="30">
        <v>69.900000000000006</v>
      </c>
      <c r="V77" s="30"/>
      <c r="W77" s="30">
        <f>500</f>
        <v>500</v>
      </c>
      <c r="X77" s="30"/>
      <c r="Y77" s="30"/>
      <c r="Z77" s="30"/>
      <c r="AA77" s="30"/>
      <c r="AB77" s="30"/>
      <c r="AC77" s="30"/>
      <c r="AD77" s="30"/>
      <c r="AE77" s="30"/>
      <c r="AF77" s="59">
        <f t="shared" si="14"/>
        <v>0</v>
      </c>
      <c r="AG77" s="30"/>
      <c r="AH77" s="30"/>
      <c r="AI77" s="30">
        <v>1854.5</v>
      </c>
      <c r="AJ77" s="60">
        <f t="shared" si="21"/>
        <v>69.900000000000006</v>
      </c>
      <c r="AK77" s="54">
        <f t="shared" si="15"/>
        <v>3145.5000000000005</v>
      </c>
      <c r="AL77" s="54">
        <f t="shared" si="19"/>
        <v>5500</v>
      </c>
      <c r="AM77" s="23">
        <f t="shared" si="17"/>
        <v>5500</v>
      </c>
      <c r="AN77" s="30">
        <f t="shared" si="22"/>
        <v>45</v>
      </c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</row>
    <row r="78" spans="1:52">
      <c r="A78" s="30">
        <v>76</v>
      </c>
      <c r="B78" s="136" t="s">
        <v>288</v>
      </c>
      <c r="C78" s="136" t="s">
        <v>289</v>
      </c>
      <c r="D78" s="136" t="s">
        <v>173</v>
      </c>
      <c r="E78" s="136" t="s">
        <v>152</v>
      </c>
      <c r="F78" s="136" t="s">
        <v>174</v>
      </c>
      <c r="G78" s="136" t="s">
        <v>168</v>
      </c>
      <c r="H78" s="136">
        <v>383</v>
      </c>
      <c r="I78" s="136" t="s">
        <v>185</v>
      </c>
      <c r="J78" s="4"/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21">
        <f t="shared" si="20"/>
        <v>0</v>
      </c>
      <c r="R78" s="51">
        <f t="shared" si="18"/>
        <v>0</v>
      </c>
      <c r="S78" s="52">
        <f t="shared" si="23"/>
        <v>0</v>
      </c>
      <c r="T78" s="30">
        <v>325</v>
      </c>
      <c r="U78" s="30">
        <f>49+15.38</f>
        <v>64.38</v>
      </c>
      <c r="V78" s="30">
        <v>0</v>
      </c>
      <c r="W78" s="30">
        <v>3600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59">
        <f t="shared" si="14"/>
        <v>0</v>
      </c>
      <c r="AG78" s="30"/>
      <c r="AH78" s="30"/>
      <c r="AI78" s="30"/>
      <c r="AJ78" s="30">
        <f t="shared" si="21"/>
        <v>64.38</v>
      </c>
      <c r="AK78" s="54">
        <f t="shared" si="15"/>
        <v>20923.5</v>
      </c>
      <c r="AL78" s="54">
        <f t="shared" si="19"/>
        <v>24523.5</v>
      </c>
      <c r="AM78" s="23">
        <f t="shared" si="17"/>
        <v>24523.5</v>
      </c>
      <c r="AN78" s="30">
        <f t="shared" si="22"/>
        <v>325</v>
      </c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</row>
    <row r="79" spans="1:52">
      <c r="A79" s="30">
        <v>77</v>
      </c>
      <c r="B79" s="135">
        <v>45360</v>
      </c>
      <c r="C79" s="136" t="s">
        <v>290</v>
      </c>
      <c r="D79" s="136"/>
      <c r="E79" s="136" t="s">
        <v>246</v>
      </c>
      <c r="F79" s="136" t="s">
        <v>171</v>
      </c>
      <c r="G79" s="136" t="s">
        <v>168</v>
      </c>
      <c r="H79" s="136">
        <v>379</v>
      </c>
      <c r="I79" s="136" t="s">
        <v>291</v>
      </c>
      <c r="J79" s="4"/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21">
        <f t="shared" si="20"/>
        <v>0</v>
      </c>
      <c r="R79" s="51">
        <f t="shared" si="18"/>
        <v>0</v>
      </c>
      <c r="S79" s="52">
        <f t="shared" si="23"/>
        <v>0</v>
      </c>
      <c r="T79" s="30">
        <v>140</v>
      </c>
      <c r="U79" s="30">
        <v>79</v>
      </c>
      <c r="V79" s="30">
        <v>0</v>
      </c>
      <c r="W79" s="30">
        <v>1800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59">
        <f t="shared" si="14"/>
        <v>0</v>
      </c>
      <c r="AG79" s="30">
        <v>0</v>
      </c>
      <c r="AH79" s="30">
        <v>0</v>
      </c>
      <c r="AI79" s="30">
        <v>0</v>
      </c>
      <c r="AJ79" s="30">
        <f t="shared" si="21"/>
        <v>79</v>
      </c>
      <c r="AK79" s="54">
        <f t="shared" si="15"/>
        <v>11060</v>
      </c>
      <c r="AL79" s="54">
        <f t="shared" si="19"/>
        <v>12860</v>
      </c>
      <c r="AM79" s="23">
        <f t="shared" si="17"/>
        <v>12860</v>
      </c>
      <c r="AN79" s="30">
        <f t="shared" si="22"/>
        <v>140</v>
      </c>
      <c r="AO79" s="30"/>
      <c r="AP79" s="30"/>
      <c r="AQ79" s="30"/>
      <c r="AR79" s="71">
        <f>AM79*10%</f>
        <v>1286</v>
      </c>
      <c r="AS79" s="30"/>
      <c r="AT79" s="30"/>
      <c r="AU79" s="30"/>
      <c r="AV79" s="30"/>
      <c r="AW79" s="30"/>
      <c r="AX79" s="30"/>
      <c r="AY79" s="30"/>
      <c r="AZ79" s="30"/>
    </row>
    <row r="80" spans="1:52">
      <c r="A80" s="30">
        <v>78</v>
      </c>
      <c r="B80" s="135">
        <v>45360</v>
      </c>
      <c r="C80" s="136" t="s">
        <v>24</v>
      </c>
      <c r="D80" s="136"/>
      <c r="E80" s="136" t="s">
        <v>152</v>
      </c>
      <c r="F80" s="136" t="s">
        <v>24</v>
      </c>
      <c r="G80" s="136" t="s">
        <v>168</v>
      </c>
      <c r="H80" s="136">
        <v>378</v>
      </c>
      <c r="I80" s="136" t="s">
        <v>292</v>
      </c>
      <c r="J80" s="4"/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21">
        <f t="shared" si="20"/>
        <v>0</v>
      </c>
      <c r="R80" s="51">
        <f t="shared" si="18"/>
        <v>0</v>
      </c>
      <c r="S80" s="52">
        <f t="shared" si="23"/>
        <v>0</v>
      </c>
      <c r="T80" s="30">
        <v>300</v>
      </c>
      <c r="U80" s="30">
        <v>59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59">
        <f t="shared" si="14"/>
        <v>0</v>
      </c>
      <c r="AG80" s="30">
        <v>0</v>
      </c>
      <c r="AH80" s="30">
        <v>0</v>
      </c>
      <c r="AI80" s="30">
        <v>0</v>
      </c>
      <c r="AJ80" s="30">
        <f t="shared" si="21"/>
        <v>59</v>
      </c>
      <c r="AK80" s="54">
        <f t="shared" si="15"/>
        <v>17700</v>
      </c>
      <c r="AL80" s="54">
        <f t="shared" si="19"/>
        <v>17700</v>
      </c>
      <c r="AM80" s="23">
        <f t="shared" si="17"/>
        <v>17700</v>
      </c>
      <c r="AN80" s="30">
        <f t="shared" si="22"/>
        <v>300</v>
      </c>
      <c r="AO80" s="30"/>
      <c r="AP80" s="30"/>
      <c r="AQ80" s="30"/>
      <c r="AR80" s="71">
        <f>AM80*10%</f>
        <v>1770</v>
      </c>
      <c r="AS80" s="30"/>
      <c r="AT80" s="30"/>
      <c r="AU80" s="30"/>
      <c r="AV80" s="30"/>
      <c r="AW80" s="30"/>
      <c r="AX80" s="30"/>
      <c r="AY80" s="30"/>
      <c r="AZ80" s="30"/>
    </row>
    <row r="81" spans="1:52">
      <c r="A81" s="30">
        <v>79</v>
      </c>
      <c r="B81" s="135">
        <v>45359</v>
      </c>
      <c r="C81" s="136" t="s">
        <v>293</v>
      </c>
      <c r="D81" s="136" t="s">
        <v>294</v>
      </c>
      <c r="E81" s="136" t="s">
        <v>152</v>
      </c>
      <c r="F81" s="136" t="s">
        <v>295</v>
      </c>
      <c r="G81" s="136" t="s">
        <v>168</v>
      </c>
      <c r="H81" s="136">
        <v>377</v>
      </c>
      <c r="I81" s="136" t="s">
        <v>262</v>
      </c>
      <c r="J81" s="4"/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21">
        <f t="shared" si="20"/>
        <v>0</v>
      </c>
      <c r="R81" s="51">
        <f t="shared" si="18"/>
        <v>0</v>
      </c>
      <c r="S81" s="52">
        <f t="shared" si="23"/>
        <v>0</v>
      </c>
      <c r="T81" s="30">
        <v>220</v>
      </c>
      <c r="U81" s="30">
        <v>89</v>
      </c>
      <c r="V81" s="30">
        <v>0</v>
      </c>
      <c r="W81" s="30">
        <v>8440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59">
        <f t="shared" si="14"/>
        <v>0</v>
      </c>
      <c r="AG81" s="30">
        <v>0</v>
      </c>
      <c r="AH81" s="30">
        <v>0</v>
      </c>
      <c r="AI81" s="30">
        <f>32120-28020</f>
        <v>4100</v>
      </c>
      <c r="AJ81" s="30">
        <f t="shared" si="21"/>
        <v>89</v>
      </c>
      <c r="AK81" s="54">
        <f t="shared" si="15"/>
        <v>19580</v>
      </c>
      <c r="AL81" s="54">
        <f t="shared" si="19"/>
        <v>32120</v>
      </c>
      <c r="AM81" s="23">
        <f t="shared" si="17"/>
        <v>32120</v>
      </c>
      <c r="AN81" s="30">
        <f t="shared" si="22"/>
        <v>220</v>
      </c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</row>
    <row r="82" spans="1:52">
      <c r="A82" s="30">
        <v>80</v>
      </c>
      <c r="B82" s="135">
        <v>45388</v>
      </c>
      <c r="C82" s="136" t="s">
        <v>296</v>
      </c>
      <c r="D82" s="136" t="s">
        <v>9</v>
      </c>
      <c r="E82" s="136" t="s">
        <v>151</v>
      </c>
      <c r="F82" s="136" t="s">
        <v>156</v>
      </c>
      <c r="G82" s="136" t="s">
        <v>168</v>
      </c>
      <c r="H82" s="136">
        <v>374</v>
      </c>
      <c r="I82" s="136" t="s">
        <v>262</v>
      </c>
      <c r="J82" s="4"/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21">
        <f t="shared" si="20"/>
        <v>0</v>
      </c>
      <c r="R82" s="51">
        <f t="shared" si="18"/>
        <v>0</v>
      </c>
      <c r="S82" s="52">
        <f t="shared" si="23"/>
        <v>0</v>
      </c>
      <c r="T82" s="30">
        <v>150</v>
      </c>
      <c r="U82" s="30">
        <v>80</v>
      </c>
      <c r="V82" s="30">
        <v>0</v>
      </c>
      <c r="W82" s="30">
        <f>2300+60</f>
        <v>2360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8</v>
      </c>
      <c r="AE82" s="30">
        <v>80</v>
      </c>
      <c r="AF82" s="59">
        <f t="shared" si="14"/>
        <v>640</v>
      </c>
      <c r="AG82" s="30">
        <v>0</v>
      </c>
      <c r="AH82" s="30">
        <v>0</v>
      </c>
      <c r="AI82" s="30">
        <v>0</v>
      </c>
      <c r="AJ82" s="30">
        <f t="shared" si="21"/>
        <v>80</v>
      </c>
      <c r="AK82" s="54">
        <f t="shared" si="15"/>
        <v>12000</v>
      </c>
      <c r="AL82" s="54">
        <f t="shared" si="19"/>
        <v>15080</v>
      </c>
      <c r="AM82" s="23">
        <f t="shared" si="17"/>
        <v>15080</v>
      </c>
      <c r="AN82" s="30">
        <f t="shared" si="22"/>
        <v>158</v>
      </c>
      <c r="AO82" s="30"/>
      <c r="AP82" s="30"/>
      <c r="AQ82" s="30"/>
      <c r="AR82" s="30"/>
      <c r="AS82" s="30"/>
      <c r="AT82" s="30"/>
      <c r="AU82" s="30"/>
      <c r="AV82" s="30"/>
      <c r="AW82" s="30">
        <v>123</v>
      </c>
      <c r="AX82" s="30"/>
      <c r="AY82" s="30"/>
      <c r="AZ82" s="30"/>
    </row>
    <row r="83" spans="1:52">
      <c r="A83" s="30">
        <v>81</v>
      </c>
      <c r="B83" s="135">
        <v>45353</v>
      </c>
      <c r="C83" s="136" t="s">
        <v>297</v>
      </c>
      <c r="D83" s="136" t="s">
        <v>15</v>
      </c>
      <c r="E83" s="136" t="s">
        <v>152</v>
      </c>
      <c r="F83" s="136" t="s">
        <v>171</v>
      </c>
      <c r="G83" s="136" t="s">
        <v>168</v>
      </c>
      <c r="H83" s="136">
        <v>373</v>
      </c>
      <c r="I83" s="136" t="s">
        <v>262</v>
      </c>
      <c r="J83" s="4"/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21">
        <f t="shared" si="20"/>
        <v>0</v>
      </c>
      <c r="R83" s="51">
        <f t="shared" si="18"/>
        <v>0</v>
      </c>
      <c r="S83" s="52">
        <f t="shared" si="23"/>
        <v>0</v>
      </c>
      <c r="T83" s="30">
        <v>40</v>
      </c>
      <c r="U83" s="30">
        <v>50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59">
        <f t="shared" si="14"/>
        <v>0</v>
      </c>
      <c r="AG83" s="30">
        <v>0</v>
      </c>
      <c r="AH83" s="30">
        <v>0</v>
      </c>
      <c r="AI83" s="30">
        <v>0</v>
      </c>
      <c r="AJ83" s="30">
        <f t="shared" si="21"/>
        <v>50</v>
      </c>
      <c r="AK83" s="54">
        <f t="shared" si="15"/>
        <v>2000</v>
      </c>
      <c r="AL83" s="54">
        <f t="shared" si="19"/>
        <v>2000</v>
      </c>
      <c r="AM83" s="23">
        <f t="shared" si="17"/>
        <v>2000</v>
      </c>
      <c r="AN83" s="30">
        <f t="shared" si="22"/>
        <v>40</v>
      </c>
      <c r="AO83" s="30"/>
      <c r="AP83" s="30"/>
      <c r="AQ83" s="30"/>
      <c r="AR83" s="71">
        <f>AM83*10%</f>
        <v>200</v>
      </c>
      <c r="AS83" s="30"/>
      <c r="AT83" s="30"/>
      <c r="AU83" s="30"/>
      <c r="AV83" s="30"/>
      <c r="AW83" s="30"/>
      <c r="AX83" s="30"/>
      <c r="AY83" s="30"/>
      <c r="AZ83" s="30"/>
    </row>
    <row r="84" spans="1:52">
      <c r="A84" s="30">
        <v>82</v>
      </c>
      <c r="B84" s="135">
        <v>45353</v>
      </c>
      <c r="C84" s="136" t="s">
        <v>298</v>
      </c>
      <c r="D84" s="136"/>
      <c r="E84" s="136" t="s">
        <v>152</v>
      </c>
      <c r="F84" s="136"/>
      <c r="G84" s="136" t="s">
        <v>168</v>
      </c>
      <c r="H84" s="136">
        <v>372</v>
      </c>
      <c r="I84" s="136" t="s">
        <v>262</v>
      </c>
      <c r="J84" s="4"/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21">
        <f t="shared" si="20"/>
        <v>0</v>
      </c>
      <c r="R84" s="51">
        <f t="shared" si="18"/>
        <v>0</v>
      </c>
      <c r="S84" s="52">
        <f t="shared" si="23"/>
        <v>0</v>
      </c>
      <c r="T84" s="30">
        <v>50</v>
      </c>
      <c r="U84" s="30">
        <v>124</v>
      </c>
      <c r="V84" s="30">
        <v>0</v>
      </c>
      <c r="W84" s="30">
        <f>(810-2*270)+300+250</f>
        <v>820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59">
        <f t="shared" ref="AF84:AF101" si="24">AD84*AE84</f>
        <v>0</v>
      </c>
      <c r="AG84" s="30">
        <v>0</v>
      </c>
      <c r="AH84" s="30">
        <v>0</v>
      </c>
      <c r="AI84" s="30">
        <v>0</v>
      </c>
      <c r="AJ84" s="30">
        <f t="shared" si="21"/>
        <v>124</v>
      </c>
      <c r="AK84" s="54">
        <f t="shared" ref="AK84:AK107" si="25">(U84*T84)</f>
        <v>6200</v>
      </c>
      <c r="AL84" s="54">
        <f t="shared" si="19"/>
        <v>7020</v>
      </c>
      <c r="AM84" s="23">
        <f t="shared" si="17"/>
        <v>7020</v>
      </c>
      <c r="AN84" s="30">
        <f t="shared" si="22"/>
        <v>50</v>
      </c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</row>
    <row r="85" spans="1:52">
      <c r="A85" s="30">
        <v>83</v>
      </c>
      <c r="B85" s="135">
        <v>45363</v>
      </c>
      <c r="C85" s="136" t="s">
        <v>299</v>
      </c>
      <c r="D85" s="136" t="s">
        <v>300</v>
      </c>
      <c r="E85" s="136" t="s">
        <v>151</v>
      </c>
      <c r="F85" s="136" t="s">
        <v>295</v>
      </c>
      <c r="G85" s="136" t="s">
        <v>168</v>
      </c>
      <c r="H85" s="136">
        <v>371</v>
      </c>
      <c r="I85" s="136" t="s">
        <v>301</v>
      </c>
      <c r="J85" s="4"/>
      <c r="K85" s="30">
        <v>25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21">
        <f t="shared" si="20"/>
        <v>25</v>
      </c>
      <c r="R85" s="51">
        <f t="shared" si="18"/>
        <v>3750</v>
      </c>
      <c r="S85" s="52">
        <f t="shared" si="23"/>
        <v>3750</v>
      </c>
      <c r="T85" s="30">
        <v>150</v>
      </c>
      <c r="U85" s="30">
        <v>75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59">
        <f t="shared" si="24"/>
        <v>0</v>
      </c>
      <c r="AG85" s="30">
        <v>0</v>
      </c>
      <c r="AH85" s="30">
        <v>0</v>
      </c>
      <c r="AI85" s="30">
        <v>0</v>
      </c>
      <c r="AJ85" s="30">
        <f t="shared" si="21"/>
        <v>75</v>
      </c>
      <c r="AK85" s="54">
        <f t="shared" si="25"/>
        <v>11250</v>
      </c>
      <c r="AL85" s="54">
        <f t="shared" si="19"/>
        <v>11250</v>
      </c>
      <c r="AM85" s="23">
        <f t="shared" si="17"/>
        <v>15000</v>
      </c>
      <c r="AN85" s="30">
        <f t="shared" si="22"/>
        <v>150</v>
      </c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</row>
    <row r="86" spans="1:52">
      <c r="A86" s="30">
        <v>84</v>
      </c>
      <c r="B86" s="135">
        <v>45339</v>
      </c>
      <c r="C86" s="136" t="s">
        <v>302</v>
      </c>
      <c r="D86" s="136" t="s">
        <v>15</v>
      </c>
      <c r="E86" s="136" t="s">
        <v>152</v>
      </c>
      <c r="F86" s="136" t="s">
        <v>24</v>
      </c>
      <c r="G86" s="136" t="s">
        <v>168</v>
      </c>
      <c r="H86" s="136">
        <v>368</v>
      </c>
      <c r="I86" s="136" t="s">
        <v>252</v>
      </c>
      <c r="J86" s="4"/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21">
        <f t="shared" si="20"/>
        <v>0</v>
      </c>
      <c r="R86" s="51">
        <f t="shared" si="18"/>
        <v>0</v>
      </c>
      <c r="S86" s="52">
        <f t="shared" si="23"/>
        <v>0</v>
      </c>
      <c r="T86" s="30">
        <v>2592</v>
      </c>
      <c r="U86" s="30">
        <f>85+15.9691358</f>
        <v>100.9691358</v>
      </c>
      <c r="V86" s="30">
        <v>0</v>
      </c>
      <c r="W86" s="30">
        <f>26000+1750</f>
        <v>27750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4572</v>
      </c>
      <c r="AD86" s="30">
        <v>0</v>
      </c>
      <c r="AE86" s="30">
        <v>0</v>
      </c>
      <c r="AF86" s="59">
        <f t="shared" si="24"/>
        <v>0</v>
      </c>
      <c r="AG86" s="30">
        <v>0</v>
      </c>
      <c r="AH86" s="30">
        <v>0</v>
      </c>
      <c r="AI86" s="30">
        <v>0</v>
      </c>
      <c r="AJ86" s="30">
        <f t="shared" si="21"/>
        <v>100.9691358</v>
      </c>
      <c r="AK86" s="54">
        <f t="shared" si="25"/>
        <v>261711.99999360001</v>
      </c>
      <c r="AL86" s="54">
        <f t="shared" si="19"/>
        <v>294033.99999360001</v>
      </c>
      <c r="AM86" s="23">
        <f t="shared" ref="AM86:AM107" si="26">S86+AL86</f>
        <v>294033.99999360001</v>
      </c>
      <c r="AN86" s="30">
        <f t="shared" si="22"/>
        <v>2592</v>
      </c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</row>
    <row r="87" spans="1:52">
      <c r="A87" s="30">
        <v>85</v>
      </c>
      <c r="B87" s="135">
        <v>45324</v>
      </c>
      <c r="C87" s="136" t="s">
        <v>303</v>
      </c>
      <c r="D87" s="136"/>
      <c r="E87" s="136" t="s">
        <v>152</v>
      </c>
      <c r="F87" s="136" t="s">
        <v>209</v>
      </c>
      <c r="G87" s="136" t="s">
        <v>168</v>
      </c>
      <c r="H87" s="136">
        <v>367</v>
      </c>
      <c r="I87" s="136" t="s">
        <v>262</v>
      </c>
      <c r="J87" s="4"/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21">
        <f t="shared" si="20"/>
        <v>0</v>
      </c>
      <c r="R87" s="51">
        <f t="shared" si="18"/>
        <v>0</v>
      </c>
      <c r="S87" s="52">
        <f t="shared" si="23"/>
        <v>0</v>
      </c>
      <c r="T87" s="30">
        <v>25</v>
      </c>
      <c r="U87" s="30">
        <v>99</v>
      </c>
      <c r="V87" s="30">
        <v>0</v>
      </c>
      <c r="W87" s="30">
        <f>1390+22.5</f>
        <v>1412.5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59">
        <f t="shared" si="24"/>
        <v>0</v>
      </c>
      <c r="AG87" s="30">
        <v>0</v>
      </c>
      <c r="AH87" s="30">
        <v>0</v>
      </c>
      <c r="AI87" s="30">
        <v>0</v>
      </c>
      <c r="AJ87" s="30">
        <f t="shared" si="21"/>
        <v>99</v>
      </c>
      <c r="AK87" s="54">
        <f t="shared" si="25"/>
        <v>2475</v>
      </c>
      <c r="AL87" s="54">
        <f t="shared" si="19"/>
        <v>3887.5</v>
      </c>
      <c r="AM87" s="23">
        <f t="shared" si="26"/>
        <v>3887.5</v>
      </c>
      <c r="AN87" s="30">
        <f t="shared" si="22"/>
        <v>25</v>
      </c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</row>
    <row r="88" spans="1:52">
      <c r="A88" s="30">
        <v>86</v>
      </c>
      <c r="B88" s="135">
        <v>45318</v>
      </c>
      <c r="C88" s="136" t="s">
        <v>304</v>
      </c>
      <c r="D88" s="136" t="s">
        <v>15</v>
      </c>
      <c r="E88" s="136" t="s">
        <v>152</v>
      </c>
      <c r="F88" s="136" t="s">
        <v>24</v>
      </c>
      <c r="G88" s="136" t="s">
        <v>168</v>
      </c>
      <c r="H88" s="136">
        <v>366</v>
      </c>
      <c r="I88" s="136" t="s">
        <v>252</v>
      </c>
      <c r="J88" s="4"/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21">
        <f t="shared" si="20"/>
        <v>0</v>
      </c>
      <c r="R88" s="51">
        <f t="shared" si="18"/>
        <v>0</v>
      </c>
      <c r="S88" s="52">
        <f t="shared" si="23"/>
        <v>0</v>
      </c>
      <c r="T88" s="30">
        <v>1671</v>
      </c>
      <c r="U88" s="30">
        <f>85+18.138839-0.107719928</f>
        <v>103.03111907200001</v>
      </c>
      <c r="V88" s="30">
        <v>0</v>
      </c>
      <c r="W88" s="30">
        <f>2750+20000</f>
        <v>22750</v>
      </c>
      <c r="X88" s="30">
        <v>0</v>
      </c>
      <c r="Y88" s="30">
        <v>0</v>
      </c>
      <c r="Z88" s="30">
        <v>0</v>
      </c>
      <c r="AA88" s="30">
        <v>1416</v>
      </c>
      <c r="AB88" s="30">
        <v>0</v>
      </c>
      <c r="AC88" s="30">
        <v>0</v>
      </c>
      <c r="AD88" s="30">
        <v>0</v>
      </c>
      <c r="AE88" s="30">
        <v>0</v>
      </c>
      <c r="AF88" s="59">
        <v>0</v>
      </c>
      <c r="AG88" s="30">
        <v>0</v>
      </c>
      <c r="AH88" s="30">
        <v>0</v>
      </c>
      <c r="AI88" s="30">
        <v>0</v>
      </c>
      <c r="AJ88" s="30">
        <f t="shared" si="21"/>
        <v>103.03111907200001</v>
      </c>
      <c r="AK88" s="54">
        <f t="shared" si="25"/>
        <v>172164.99996931202</v>
      </c>
      <c r="AL88" s="54">
        <f t="shared" si="19"/>
        <v>196330.99996931202</v>
      </c>
      <c r="AM88" s="23">
        <f t="shared" si="26"/>
        <v>196330.99996931202</v>
      </c>
      <c r="AN88" s="30">
        <f t="shared" si="22"/>
        <v>1671</v>
      </c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</row>
    <row r="89" spans="1:52">
      <c r="A89" s="30">
        <v>87</v>
      </c>
      <c r="B89" s="135">
        <v>45304</v>
      </c>
      <c r="C89" s="136" t="s">
        <v>305</v>
      </c>
      <c r="D89" s="136" t="s">
        <v>15</v>
      </c>
      <c r="E89" s="136" t="s">
        <v>152</v>
      </c>
      <c r="F89" s="136" t="s">
        <v>24</v>
      </c>
      <c r="G89" s="136" t="s">
        <v>168</v>
      </c>
      <c r="H89" s="136">
        <v>362</v>
      </c>
      <c r="I89" s="136" t="s">
        <v>252</v>
      </c>
      <c r="J89" s="4"/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21">
        <f t="shared" si="20"/>
        <v>0</v>
      </c>
      <c r="R89" s="51">
        <f t="shared" si="18"/>
        <v>0</v>
      </c>
      <c r="S89" s="52">
        <f t="shared" si="23"/>
        <v>0</v>
      </c>
      <c r="T89" s="30">
        <v>2089</v>
      </c>
      <c r="U89" s="30">
        <f>85+10.4260412</f>
        <v>95.4260412</v>
      </c>
      <c r="V89" s="30">
        <v>0</v>
      </c>
      <c r="W89" s="30">
        <f>20000+4750</f>
        <v>24750</v>
      </c>
      <c r="X89" s="30">
        <v>0</v>
      </c>
      <c r="Y89" s="30">
        <v>0</v>
      </c>
      <c r="Z89" s="30">
        <v>0</v>
      </c>
      <c r="AA89" s="30">
        <v>5952</v>
      </c>
      <c r="AB89" s="30">
        <v>0</v>
      </c>
      <c r="AC89" s="30">
        <v>0</v>
      </c>
      <c r="AD89" s="30">
        <v>0</v>
      </c>
      <c r="AE89" s="30">
        <v>0</v>
      </c>
      <c r="AF89" s="59">
        <f t="shared" si="24"/>
        <v>0</v>
      </c>
      <c r="AG89" s="30">
        <v>0</v>
      </c>
      <c r="AH89" s="30">
        <v>0</v>
      </c>
      <c r="AI89" s="30">
        <v>0</v>
      </c>
      <c r="AJ89" s="30">
        <f t="shared" si="21"/>
        <v>95.4260412</v>
      </c>
      <c r="AK89" s="54">
        <f t="shared" si="25"/>
        <v>199345.00006680001</v>
      </c>
      <c r="AL89" s="54">
        <f t="shared" si="19"/>
        <v>230047.00006680001</v>
      </c>
      <c r="AM89" s="23">
        <f t="shared" si="26"/>
        <v>230047.00006680001</v>
      </c>
      <c r="AN89" s="30">
        <f t="shared" si="22"/>
        <v>2089</v>
      </c>
      <c r="AO89" s="30"/>
      <c r="AP89" s="30"/>
      <c r="AQ89" s="30"/>
      <c r="AR89" s="30"/>
      <c r="AS89" s="30"/>
      <c r="AT89" s="30"/>
      <c r="AU89" s="30"/>
      <c r="AV89" s="30"/>
      <c r="AW89" s="30">
        <v>510</v>
      </c>
      <c r="AX89" s="30"/>
      <c r="AY89" s="30"/>
      <c r="AZ89" s="30"/>
    </row>
    <row r="90" spans="1:52">
      <c r="A90" s="30">
        <v>88</v>
      </c>
      <c r="B90" s="135">
        <v>45423</v>
      </c>
      <c r="C90" s="136" t="s">
        <v>306</v>
      </c>
      <c r="D90" s="136"/>
      <c r="E90" s="136" t="s">
        <v>246</v>
      </c>
      <c r="F90" s="136" t="s">
        <v>209</v>
      </c>
      <c r="G90" s="136" t="s">
        <v>168</v>
      </c>
      <c r="H90" s="136">
        <v>360</v>
      </c>
      <c r="I90" s="136" t="s">
        <v>262</v>
      </c>
      <c r="J90" s="4"/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21">
        <f t="shared" si="20"/>
        <v>0</v>
      </c>
      <c r="R90" s="51">
        <f t="shared" si="18"/>
        <v>0</v>
      </c>
      <c r="S90" s="52">
        <f t="shared" si="23"/>
        <v>0</v>
      </c>
      <c r="T90" s="30">
        <v>89</v>
      </c>
      <c r="U90" s="30">
        <v>60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27</v>
      </c>
      <c r="AE90" s="30">
        <v>60</v>
      </c>
      <c r="AF90" s="59">
        <f t="shared" si="24"/>
        <v>1620</v>
      </c>
      <c r="AG90" s="30">
        <v>0</v>
      </c>
      <c r="AH90" s="30">
        <v>0</v>
      </c>
      <c r="AI90" s="30">
        <v>0</v>
      </c>
      <c r="AJ90" s="30">
        <f t="shared" si="21"/>
        <v>60</v>
      </c>
      <c r="AK90" s="54">
        <f t="shared" si="25"/>
        <v>5340</v>
      </c>
      <c r="AL90" s="54">
        <f t="shared" si="19"/>
        <v>7020</v>
      </c>
      <c r="AM90" s="23">
        <f t="shared" si="26"/>
        <v>7020</v>
      </c>
      <c r="AN90" s="30">
        <f t="shared" si="22"/>
        <v>116</v>
      </c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</row>
    <row r="91" spans="1:52">
      <c r="A91" s="30">
        <v>89</v>
      </c>
      <c r="B91" s="135">
        <v>45437</v>
      </c>
      <c r="C91" s="136" t="s">
        <v>307</v>
      </c>
      <c r="D91" s="136" t="s">
        <v>20</v>
      </c>
      <c r="E91" s="136" t="s">
        <v>152</v>
      </c>
      <c r="F91" s="136" t="s">
        <v>24</v>
      </c>
      <c r="G91" s="136" t="s">
        <v>168</v>
      </c>
      <c r="H91" s="136">
        <v>359</v>
      </c>
      <c r="I91" s="136" t="s">
        <v>252</v>
      </c>
      <c r="J91" s="4"/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21">
        <f t="shared" si="20"/>
        <v>0</v>
      </c>
      <c r="R91" s="51">
        <f t="shared" si="18"/>
        <v>0</v>
      </c>
      <c r="S91" s="52">
        <f t="shared" si="23"/>
        <v>0</v>
      </c>
      <c r="T91" s="30">
        <v>1000</v>
      </c>
      <c r="U91" s="30">
        <v>85</v>
      </c>
      <c r="V91" s="30">
        <v>0</v>
      </c>
      <c r="W91" s="30">
        <v>1500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626</v>
      </c>
      <c r="AE91" s="30">
        <v>134</v>
      </c>
      <c r="AF91" s="59">
        <f t="shared" si="24"/>
        <v>83884</v>
      </c>
      <c r="AG91" s="30">
        <v>0</v>
      </c>
      <c r="AH91" s="30">
        <v>0</v>
      </c>
      <c r="AI91" s="30">
        <v>0</v>
      </c>
      <c r="AJ91" s="30">
        <f t="shared" si="21"/>
        <v>85</v>
      </c>
      <c r="AK91" s="54">
        <f t="shared" si="25"/>
        <v>85000</v>
      </c>
      <c r="AL91" s="54">
        <f t="shared" si="19"/>
        <v>170518</v>
      </c>
      <c r="AM91" s="23">
        <f t="shared" si="26"/>
        <v>170518</v>
      </c>
      <c r="AN91" s="30">
        <f t="shared" si="22"/>
        <v>1626</v>
      </c>
      <c r="AO91" s="30">
        <v>21951.8</v>
      </c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</row>
    <row r="92" spans="1:52">
      <c r="A92" s="30">
        <v>90</v>
      </c>
      <c r="B92" s="135">
        <v>45642</v>
      </c>
      <c r="C92" s="136" t="s">
        <v>308</v>
      </c>
      <c r="D92" s="136" t="s">
        <v>196</v>
      </c>
      <c r="E92" s="136" t="s">
        <v>152</v>
      </c>
      <c r="F92" s="136" t="s">
        <v>24</v>
      </c>
      <c r="G92" s="136" t="s">
        <v>168</v>
      </c>
      <c r="H92" s="136">
        <v>354</v>
      </c>
      <c r="I92" s="136" t="s">
        <v>309</v>
      </c>
      <c r="J92" s="4"/>
      <c r="K92" s="30">
        <v>25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21">
        <f t="shared" si="20"/>
        <v>25</v>
      </c>
      <c r="R92" s="51">
        <f t="shared" ref="R92:R150" si="27">(K92+L92)*T92</f>
        <v>25000</v>
      </c>
      <c r="S92" s="52">
        <f t="shared" si="23"/>
        <v>25000</v>
      </c>
      <c r="T92" s="30">
        <v>1000</v>
      </c>
      <c r="U92" s="30">
        <v>75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59">
        <f t="shared" si="24"/>
        <v>0</v>
      </c>
      <c r="AG92" s="30">
        <v>0</v>
      </c>
      <c r="AH92" s="30">
        <v>0</v>
      </c>
      <c r="AI92" s="30">
        <v>0</v>
      </c>
      <c r="AJ92" s="30">
        <f t="shared" si="21"/>
        <v>75</v>
      </c>
      <c r="AK92" s="54">
        <f t="shared" si="25"/>
        <v>75000</v>
      </c>
      <c r="AL92" s="54">
        <f t="shared" si="19"/>
        <v>75000</v>
      </c>
      <c r="AM92" s="23">
        <f t="shared" si="26"/>
        <v>100000</v>
      </c>
      <c r="AN92" s="30">
        <f t="shared" si="22"/>
        <v>1000</v>
      </c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</row>
    <row r="93" spans="1:52">
      <c r="A93" s="30">
        <v>91</v>
      </c>
      <c r="B93" s="135">
        <v>45521</v>
      </c>
      <c r="C93" s="136" t="s">
        <v>310</v>
      </c>
      <c r="D93" s="136" t="s">
        <v>20</v>
      </c>
      <c r="E93" s="136" t="s">
        <v>152</v>
      </c>
      <c r="F93" s="136" t="s">
        <v>24</v>
      </c>
      <c r="G93" s="136" t="s">
        <v>168</v>
      </c>
      <c r="H93" s="136">
        <v>353</v>
      </c>
      <c r="I93" s="136" t="s">
        <v>252</v>
      </c>
      <c r="J93" s="4"/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21">
        <f t="shared" si="20"/>
        <v>0</v>
      </c>
      <c r="R93" s="51">
        <f t="shared" si="27"/>
        <v>0</v>
      </c>
      <c r="S93" s="52">
        <f t="shared" si="23"/>
        <v>0</v>
      </c>
      <c r="T93" s="30">
        <v>1890</v>
      </c>
      <c r="U93" s="30">
        <f>111.77+0.00248414376</f>
        <v>111.77248414376</v>
      </c>
      <c r="V93" s="30">
        <v>0</v>
      </c>
      <c r="W93" s="30">
        <v>1250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375</v>
      </c>
      <c r="AE93" s="30">
        <v>160.63999999999999</v>
      </c>
      <c r="AF93" s="59">
        <f t="shared" si="24"/>
        <v>60239.999999999993</v>
      </c>
      <c r="AG93" s="30">
        <v>0</v>
      </c>
      <c r="AH93" s="30">
        <v>0</v>
      </c>
      <c r="AI93" s="30">
        <v>0</v>
      </c>
      <c r="AJ93" s="30">
        <f t="shared" si="21"/>
        <v>111.77248414376</v>
      </c>
      <c r="AK93" s="54">
        <f t="shared" si="25"/>
        <v>211249.99503170641</v>
      </c>
      <c r="AL93" s="54">
        <f t="shared" si="19"/>
        <v>272900.63503170642</v>
      </c>
      <c r="AM93" s="23">
        <f t="shared" si="26"/>
        <v>272900.63503170642</v>
      </c>
      <c r="AN93" s="30">
        <f t="shared" si="22"/>
        <v>2265</v>
      </c>
      <c r="AO93" s="30"/>
      <c r="AP93" s="30"/>
      <c r="AQ93" s="30"/>
      <c r="AR93" s="30"/>
      <c r="AS93" s="30"/>
      <c r="AT93" s="30"/>
      <c r="AU93" s="30"/>
      <c r="AV93" s="30"/>
      <c r="AW93" s="30">
        <v>2052</v>
      </c>
      <c r="AX93" s="30"/>
      <c r="AY93" s="30"/>
      <c r="AZ93" s="30"/>
    </row>
    <row r="94" spans="1:52" s="56" customFormat="1">
      <c r="A94" s="30">
        <v>92</v>
      </c>
      <c r="B94" s="137">
        <v>45433</v>
      </c>
      <c r="C94" s="138" t="s">
        <v>311</v>
      </c>
      <c r="D94" s="138" t="s">
        <v>9</v>
      </c>
      <c r="E94" s="138" t="s">
        <v>151</v>
      </c>
      <c r="F94" s="138" t="s">
        <v>209</v>
      </c>
      <c r="G94" s="138" t="s">
        <v>168</v>
      </c>
      <c r="H94" s="138">
        <v>348</v>
      </c>
      <c r="I94" s="138" t="s">
        <v>262</v>
      </c>
      <c r="J94" s="49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50">
        <f t="shared" si="20"/>
        <v>0</v>
      </c>
      <c r="R94" s="51">
        <f t="shared" si="27"/>
        <v>0</v>
      </c>
      <c r="S94" s="52">
        <f t="shared" si="23"/>
        <v>0</v>
      </c>
      <c r="T94" s="60">
        <v>1</v>
      </c>
      <c r="U94" s="60">
        <v>4380</v>
      </c>
      <c r="V94" s="60">
        <v>0</v>
      </c>
      <c r="W94" s="60">
        <v>0</v>
      </c>
      <c r="X94" s="60">
        <v>0</v>
      </c>
      <c r="Y94" s="60">
        <v>0</v>
      </c>
      <c r="Z94" s="60">
        <v>0</v>
      </c>
      <c r="AA94" s="60">
        <v>0</v>
      </c>
      <c r="AB94" s="60">
        <v>0</v>
      </c>
      <c r="AC94" s="60">
        <v>0</v>
      </c>
      <c r="AD94" s="60">
        <v>0</v>
      </c>
      <c r="AE94" s="60">
        <v>0</v>
      </c>
      <c r="AF94" s="63">
        <f t="shared" si="24"/>
        <v>0</v>
      </c>
      <c r="AG94" s="60">
        <v>0</v>
      </c>
      <c r="AH94" s="60">
        <v>0</v>
      </c>
      <c r="AI94" s="60">
        <v>0</v>
      </c>
      <c r="AJ94" s="60">
        <f t="shared" si="21"/>
        <v>4380</v>
      </c>
      <c r="AK94" s="54">
        <f t="shared" si="25"/>
        <v>4380</v>
      </c>
      <c r="AL94" s="54">
        <f t="shared" si="19"/>
        <v>4380</v>
      </c>
      <c r="AM94" s="54">
        <f t="shared" si="26"/>
        <v>4380</v>
      </c>
      <c r="AN94" s="60">
        <f t="shared" si="22"/>
        <v>1</v>
      </c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</row>
    <row r="95" spans="1:52">
      <c r="A95" s="60">
        <v>93</v>
      </c>
      <c r="B95" s="136"/>
      <c r="C95" s="136" t="s">
        <v>313</v>
      </c>
      <c r="D95" s="136" t="s">
        <v>173</v>
      </c>
      <c r="E95" s="136" t="s">
        <v>152</v>
      </c>
      <c r="F95" s="136" t="s">
        <v>174</v>
      </c>
      <c r="G95" s="136" t="s">
        <v>168</v>
      </c>
      <c r="H95" s="136">
        <v>332</v>
      </c>
      <c r="I95" s="136" t="s">
        <v>312</v>
      </c>
      <c r="J95" s="4"/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21">
        <f t="shared" si="20"/>
        <v>0</v>
      </c>
      <c r="R95" s="51">
        <f t="shared" si="27"/>
        <v>0</v>
      </c>
      <c r="S95" s="52">
        <f t="shared" si="23"/>
        <v>0</v>
      </c>
      <c r="T95" s="30">
        <v>1</v>
      </c>
      <c r="U95" s="30">
        <v>4500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59">
        <f t="shared" si="24"/>
        <v>0</v>
      </c>
      <c r="AG95" s="30">
        <v>0</v>
      </c>
      <c r="AH95" s="30">
        <v>0</v>
      </c>
      <c r="AI95" s="30">
        <v>0</v>
      </c>
      <c r="AJ95" s="30">
        <f t="shared" si="21"/>
        <v>4500</v>
      </c>
      <c r="AK95" s="54">
        <f t="shared" si="25"/>
        <v>4500</v>
      </c>
      <c r="AL95" s="54">
        <f t="shared" ref="AL95:AL107" si="28">AK95+AI95+AH95+AG95+AF95+AE95+AB95+AC95+AA95+Z95+Y95+X95+W95</f>
        <v>4500</v>
      </c>
      <c r="AM95" s="23">
        <f t="shared" si="26"/>
        <v>4500</v>
      </c>
      <c r="AN95" s="30">
        <f t="shared" si="22"/>
        <v>1</v>
      </c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</row>
    <row r="96" spans="1:52">
      <c r="A96" s="30">
        <v>94</v>
      </c>
      <c r="B96" s="136"/>
      <c r="C96" s="136" t="s">
        <v>313</v>
      </c>
      <c r="D96" s="136" t="s">
        <v>173</v>
      </c>
      <c r="E96" s="136" t="s">
        <v>152</v>
      </c>
      <c r="F96" s="136" t="s">
        <v>174</v>
      </c>
      <c r="G96" s="136" t="s">
        <v>168</v>
      </c>
      <c r="H96" s="136">
        <v>330</v>
      </c>
      <c r="I96" s="136"/>
      <c r="J96" s="4"/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21">
        <f t="shared" si="20"/>
        <v>0</v>
      </c>
      <c r="R96" s="51">
        <f t="shared" si="27"/>
        <v>0</v>
      </c>
      <c r="S96" s="52">
        <f t="shared" si="23"/>
        <v>0</v>
      </c>
      <c r="T96" s="30">
        <v>1</v>
      </c>
      <c r="U96" s="30">
        <v>1000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59">
        <f t="shared" si="24"/>
        <v>0</v>
      </c>
      <c r="AG96" s="30">
        <v>0</v>
      </c>
      <c r="AH96" s="30">
        <v>0</v>
      </c>
      <c r="AI96" s="30">
        <v>0</v>
      </c>
      <c r="AJ96" s="30">
        <f t="shared" si="21"/>
        <v>1000</v>
      </c>
      <c r="AK96" s="54">
        <f t="shared" si="25"/>
        <v>1000</v>
      </c>
      <c r="AL96" s="54">
        <f t="shared" si="28"/>
        <v>1000</v>
      </c>
      <c r="AM96" s="23">
        <f t="shared" si="26"/>
        <v>1000</v>
      </c>
      <c r="AN96" s="30">
        <f t="shared" si="22"/>
        <v>1</v>
      </c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</row>
    <row r="97" spans="1:52">
      <c r="A97" s="30">
        <v>95</v>
      </c>
      <c r="B97" s="136" t="s">
        <v>314</v>
      </c>
      <c r="C97" s="136" t="s">
        <v>315</v>
      </c>
      <c r="D97" s="136" t="s">
        <v>9</v>
      </c>
      <c r="E97" s="136" t="s">
        <v>153</v>
      </c>
      <c r="F97" s="136" t="s">
        <v>56</v>
      </c>
      <c r="G97" s="136" t="s">
        <v>168</v>
      </c>
      <c r="H97" s="136">
        <v>325</v>
      </c>
      <c r="I97" s="136" t="s">
        <v>316</v>
      </c>
      <c r="J97" s="4"/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21">
        <f t="shared" si="20"/>
        <v>0</v>
      </c>
      <c r="R97" s="51">
        <f t="shared" si="27"/>
        <v>0</v>
      </c>
      <c r="S97" s="52">
        <f t="shared" si="23"/>
        <v>0</v>
      </c>
      <c r="T97" s="30">
        <v>63</v>
      </c>
      <c r="U97" s="30">
        <v>150</v>
      </c>
      <c r="V97" s="30">
        <v>0</v>
      </c>
      <c r="W97" s="30">
        <v>1800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59">
        <f t="shared" si="24"/>
        <v>0</v>
      </c>
      <c r="AG97" s="30">
        <v>0</v>
      </c>
      <c r="AH97" s="30">
        <v>0</v>
      </c>
      <c r="AI97" s="30">
        <v>0</v>
      </c>
      <c r="AJ97" s="30">
        <f t="shared" si="21"/>
        <v>150</v>
      </c>
      <c r="AK97" s="54">
        <f t="shared" si="25"/>
        <v>9450</v>
      </c>
      <c r="AL97" s="54">
        <f t="shared" si="28"/>
        <v>11250</v>
      </c>
      <c r="AM97" s="23">
        <f t="shared" si="26"/>
        <v>11250</v>
      </c>
      <c r="AN97" s="30">
        <f t="shared" si="22"/>
        <v>63</v>
      </c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</row>
    <row r="98" spans="1:52">
      <c r="A98" s="30">
        <v>96</v>
      </c>
      <c r="B98" s="135">
        <v>45346</v>
      </c>
      <c r="C98" s="136" t="s">
        <v>317</v>
      </c>
      <c r="D98" s="136" t="s">
        <v>271</v>
      </c>
      <c r="E98" s="136" t="s">
        <v>151</v>
      </c>
      <c r="F98" s="136" t="s">
        <v>24</v>
      </c>
      <c r="G98" s="136" t="s">
        <v>168</v>
      </c>
      <c r="H98" s="136">
        <v>178</v>
      </c>
      <c r="I98" s="136" t="s">
        <v>252</v>
      </c>
      <c r="J98" s="4"/>
      <c r="K98" s="30">
        <v>29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21">
        <f>K98+L98</f>
        <v>29</v>
      </c>
      <c r="R98" s="51">
        <f t="shared" si="27"/>
        <v>34800</v>
      </c>
      <c r="S98" s="52">
        <f t="shared" si="23"/>
        <v>34800</v>
      </c>
      <c r="T98" s="30">
        <v>1200</v>
      </c>
      <c r="U98" s="30">
        <v>70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400</v>
      </c>
      <c r="AE98" s="30">
        <v>99</v>
      </c>
      <c r="AF98" s="59">
        <f t="shared" si="24"/>
        <v>39600</v>
      </c>
      <c r="AG98" s="30">
        <v>0</v>
      </c>
      <c r="AH98" s="30">
        <v>0</v>
      </c>
      <c r="AI98" s="30">
        <v>0</v>
      </c>
      <c r="AJ98" s="30">
        <f t="shared" si="21"/>
        <v>70</v>
      </c>
      <c r="AK98" s="54">
        <f t="shared" si="25"/>
        <v>84000</v>
      </c>
      <c r="AL98" s="54">
        <f t="shared" si="28"/>
        <v>123699</v>
      </c>
      <c r="AM98" s="23">
        <f t="shared" si="26"/>
        <v>158499</v>
      </c>
      <c r="AN98" s="30">
        <f t="shared" si="22"/>
        <v>1600</v>
      </c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</row>
    <row r="99" spans="1:52">
      <c r="A99" s="30">
        <v>97</v>
      </c>
      <c r="B99" s="135">
        <v>45479</v>
      </c>
      <c r="C99" s="136" t="s">
        <v>319</v>
      </c>
      <c r="D99" s="136" t="s">
        <v>15</v>
      </c>
      <c r="E99" s="136" t="s">
        <v>152</v>
      </c>
      <c r="F99" s="136" t="s">
        <v>24</v>
      </c>
      <c r="G99" s="136" t="s">
        <v>168</v>
      </c>
      <c r="H99" s="136">
        <v>175</v>
      </c>
      <c r="I99" s="136" t="s">
        <v>318</v>
      </c>
      <c r="J99" s="4"/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21">
        <f t="shared" si="20"/>
        <v>0</v>
      </c>
      <c r="R99" s="51">
        <f t="shared" si="27"/>
        <v>0</v>
      </c>
      <c r="S99" s="52">
        <f t="shared" si="23"/>
        <v>0</v>
      </c>
      <c r="T99" s="30">
        <v>1000</v>
      </c>
      <c r="U99" s="30">
        <v>135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59">
        <v>0</v>
      </c>
      <c r="AG99" s="30">
        <v>0</v>
      </c>
      <c r="AH99" s="30">
        <v>0</v>
      </c>
      <c r="AI99" s="30">
        <v>0</v>
      </c>
      <c r="AJ99" s="30">
        <f t="shared" si="21"/>
        <v>135</v>
      </c>
      <c r="AK99" s="54">
        <f t="shared" si="25"/>
        <v>135000</v>
      </c>
      <c r="AL99" s="54">
        <f t="shared" si="28"/>
        <v>135000</v>
      </c>
      <c r="AM99" s="23">
        <f t="shared" si="26"/>
        <v>135000</v>
      </c>
      <c r="AN99" s="30">
        <f t="shared" si="22"/>
        <v>1000</v>
      </c>
      <c r="AO99" s="30"/>
      <c r="AP99" s="30"/>
      <c r="AQ99" s="30"/>
      <c r="AR99" s="30"/>
      <c r="AS99" s="30"/>
      <c r="AT99" s="30"/>
      <c r="AU99" s="30"/>
      <c r="AV99" s="30"/>
      <c r="AW99" s="30">
        <v>108</v>
      </c>
      <c r="AX99" s="30"/>
      <c r="AY99" s="30"/>
      <c r="AZ99" s="30"/>
    </row>
    <row r="100" spans="1:52">
      <c r="A100" s="30">
        <v>98</v>
      </c>
      <c r="B100" s="135">
        <v>45339</v>
      </c>
      <c r="C100" s="136" t="s">
        <v>320</v>
      </c>
      <c r="D100" s="136" t="s">
        <v>15</v>
      </c>
      <c r="E100" s="136" t="s">
        <v>152</v>
      </c>
      <c r="F100" s="136" t="s">
        <v>24</v>
      </c>
      <c r="G100" s="136" t="s">
        <v>168</v>
      </c>
      <c r="H100" s="136">
        <v>174</v>
      </c>
      <c r="I100" s="136" t="s">
        <v>318</v>
      </c>
      <c r="J100" s="4"/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21">
        <f t="shared" si="20"/>
        <v>0</v>
      </c>
      <c r="R100" s="51">
        <f t="shared" si="27"/>
        <v>0</v>
      </c>
      <c r="S100" s="52">
        <f t="shared" si="23"/>
        <v>0</v>
      </c>
      <c r="T100" s="30">
        <v>1300</v>
      </c>
      <c r="U100" s="30">
        <f>142+9.9</f>
        <v>151.9</v>
      </c>
      <c r="V100" s="30">
        <v>9.9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59">
        <v>0</v>
      </c>
      <c r="AG100" s="30">
        <v>0</v>
      </c>
      <c r="AH100" s="30">
        <v>0</v>
      </c>
      <c r="AI100" s="30">
        <v>0</v>
      </c>
      <c r="AJ100" s="30">
        <f t="shared" si="21"/>
        <v>161.80000000000001</v>
      </c>
      <c r="AK100" s="54">
        <f t="shared" si="25"/>
        <v>197470</v>
      </c>
      <c r="AL100" s="54">
        <f t="shared" si="28"/>
        <v>197470</v>
      </c>
      <c r="AM100" s="23">
        <f t="shared" si="26"/>
        <v>197470</v>
      </c>
      <c r="AN100" s="30">
        <f t="shared" si="22"/>
        <v>1300</v>
      </c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</row>
    <row r="101" spans="1:52">
      <c r="A101" s="30">
        <v>99</v>
      </c>
      <c r="B101" s="135">
        <v>45305</v>
      </c>
      <c r="C101" s="136" t="s">
        <v>321</v>
      </c>
      <c r="D101" s="136" t="s">
        <v>9</v>
      </c>
      <c r="E101" s="136" t="s">
        <v>151</v>
      </c>
      <c r="F101" s="136" t="s">
        <v>193</v>
      </c>
      <c r="G101" s="136" t="s">
        <v>168</v>
      </c>
      <c r="H101" s="136">
        <v>168</v>
      </c>
      <c r="I101" s="136" t="s">
        <v>322</v>
      </c>
      <c r="J101" s="4"/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21">
        <f t="shared" si="20"/>
        <v>0</v>
      </c>
      <c r="R101" s="51">
        <f t="shared" si="27"/>
        <v>0</v>
      </c>
      <c r="S101" s="52">
        <f t="shared" si="23"/>
        <v>0</v>
      </c>
      <c r="T101" s="30">
        <v>100</v>
      </c>
      <c r="U101" s="30">
        <v>169</v>
      </c>
      <c r="V101" s="30">
        <v>0</v>
      </c>
      <c r="W101" s="30">
        <v>3600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8</v>
      </c>
      <c r="AE101" s="30">
        <v>205</v>
      </c>
      <c r="AF101" s="59">
        <f t="shared" si="24"/>
        <v>1640</v>
      </c>
      <c r="AG101" s="30">
        <v>0</v>
      </c>
      <c r="AH101" s="30">
        <v>0</v>
      </c>
      <c r="AI101" s="30">
        <v>0</v>
      </c>
      <c r="AJ101" s="30">
        <f t="shared" si="21"/>
        <v>169</v>
      </c>
      <c r="AK101" s="54">
        <f>(U101*T101)</f>
        <v>16900</v>
      </c>
      <c r="AL101" s="54">
        <f t="shared" si="28"/>
        <v>22345</v>
      </c>
      <c r="AM101" s="23">
        <f t="shared" si="26"/>
        <v>22345</v>
      </c>
      <c r="AN101" s="30">
        <f t="shared" si="22"/>
        <v>108</v>
      </c>
      <c r="AO101" s="30"/>
      <c r="AP101" s="30"/>
      <c r="AQ101" s="30"/>
      <c r="AR101" s="30"/>
      <c r="AS101" s="30"/>
      <c r="AT101" s="30"/>
      <c r="AU101" s="30"/>
      <c r="AV101" s="30"/>
      <c r="AW101" s="30">
        <v>190</v>
      </c>
      <c r="AX101" s="30"/>
      <c r="AY101" s="30"/>
      <c r="AZ101" s="30"/>
    </row>
    <row r="102" spans="1:52">
      <c r="A102" s="30">
        <v>100</v>
      </c>
      <c r="B102" s="135">
        <v>45442</v>
      </c>
      <c r="C102" s="136" t="s">
        <v>324</v>
      </c>
      <c r="D102" s="136" t="s">
        <v>15</v>
      </c>
      <c r="E102" s="136" t="s">
        <v>152</v>
      </c>
      <c r="F102" s="136"/>
      <c r="G102" s="136" t="s">
        <v>168</v>
      </c>
      <c r="H102" s="136">
        <v>407</v>
      </c>
      <c r="I102" s="136" t="s">
        <v>323</v>
      </c>
      <c r="J102" s="4"/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21">
        <f t="shared" si="20"/>
        <v>0</v>
      </c>
      <c r="R102" s="51">
        <f t="shared" si="27"/>
        <v>0</v>
      </c>
      <c r="S102" s="52">
        <f t="shared" si="23"/>
        <v>0</v>
      </c>
      <c r="T102" s="30">
        <v>3000</v>
      </c>
      <c r="U102" s="30">
        <v>200.4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270</v>
      </c>
      <c r="AE102" s="30">
        <v>200.559259</v>
      </c>
      <c r="AF102" s="59">
        <f>AD102*AE102</f>
        <v>54150.999929999998</v>
      </c>
      <c r="AG102" s="30">
        <v>0</v>
      </c>
      <c r="AH102" s="30">
        <v>0</v>
      </c>
      <c r="AI102" s="30">
        <v>0</v>
      </c>
      <c r="AJ102" s="30">
        <f t="shared" si="21"/>
        <v>200.4</v>
      </c>
      <c r="AK102" s="54">
        <f t="shared" si="25"/>
        <v>601200</v>
      </c>
      <c r="AL102" s="54">
        <f t="shared" si="28"/>
        <v>655551.55918900005</v>
      </c>
      <c r="AM102" s="23">
        <f t="shared" si="26"/>
        <v>655551.55918900005</v>
      </c>
      <c r="AN102" s="30">
        <f t="shared" si="22"/>
        <v>3270</v>
      </c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</row>
    <row r="103" spans="1:52">
      <c r="A103" s="30">
        <v>101</v>
      </c>
      <c r="B103" s="135">
        <v>45412</v>
      </c>
      <c r="C103" s="136" t="s">
        <v>325</v>
      </c>
      <c r="D103" s="136" t="s">
        <v>300</v>
      </c>
      <c r="E103" s="136" t="s">
        <v>151</v>
      </c>
      <c r="F103" s="136" t="s">
        <v>13</v>
      </c>
      <c r="G103" s="136" t="s">
        <v>168</v>
      </c>
      <c r="H103" s="136">
        <v>336</v>
      </c>
      <c r="I103" s="136"/>
      <c r="J103" s="4"/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21">
        <f t="shared" si="20"/>
        <v>0</v>
      </c>
      <c r="R103" s="51">
        <f t="shared" si="27"/>
        <v>0</v>
      </c>
      <c r="S103" s="52">
        <f t="shared" si="23"/>
        <v>0</v>
      </c>
      <c r="T103" s="30">
        <v>1</v>
      </c>
      <c r="U103" s="30">
        <v>840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f t="shared" si="21"/>
        <v>840</v>
      </c>
      <c r="AK103" s="54">
        <f>(U103*T103)</f>
        <v>840</v>
      </c>
      <c r="AL103" s="54">
        <f t="shared" si="28"/>
        <v>840</v>
      </c>
      <c r="AM103" s="23">
        <f t="shared" si="26"/>
        <v>840</v>
      </c>
      <c r="AN103" s="30">
        <f t="shared" si="22"/>
        <v>1</v>
      </c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</row>
    <row r="104" spans="1:52">
      <c r="A104" s="30">
        <v>102</v>
      </c>
      <c r="B104" s="135">
        <v>45619</v>
      </c>
      <c r="C104" s="136" t="s">
        <v>329</v>
      </c>
      <c r="D104" s="136" t="s">
        <v>15</v>
      </c>
      <c r="E104" s="136" t="s">
        <v>152</v>
      </c>
      <c r="F104" s="136" t="s">
        <v>24</v>
      </c>
      <c r="G104" s="136" t="s">
        <v>168</v>
      </c>
      <c r="H104" s="136">
        <v>491</v>
      </c>
      <c r="I104" s="136" t="s">
        <v>252</v>
      </c>
      <c r="J104" s="4"/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21">
        <f t="shared" si="20"/>
        <v>0</v>
      </c>
      <c r="R104" s="51">
        <f t="shared" si="27"/>
        <v>0</v>
      </c>
      <c r="S104" s="52">
        <f t="shared" si="23"/>
        <v>0</v>
      </c>
      <c r="T104" s="30">
        <v>1400</v>
      </c>
      <c r="U104" s="30">
        <v>115</v>
      </c>
      <c r="V104" s="30">
        <v>0</v>
      </c>
      <c r="W104" s="30">
        <v>3750</v>
      </c>
      <c r="X104" s="30">
        <v>0</v>
      </c>
      <c r="Y104" s="30">
        <v>0</v>
      </c>
      <c r="Z104" s="30">
        <v>0</v>
      </c>
      <c r="AA104" s="30">
        <v>2480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/>
      <c r="AJ104" s="30">
        <f t="shared" si="21"/>
        <v>115</v>
      </c>
      <c r="AK104" s="54">
        <f t="shared" si="25"/>
        <v>161000</v>
      </c>
      <c r="AL104" s="54">
        <f t="shared" si="28"/>
        <v>167230</v>
      </c>
      <c r="AM104" s="23">
        <f t="shared" si="26"/>
        <v>167230</v>
      </c>
      <c r="AN104" s="30">
        <f t="shared" si="22"/>
        <v>1400</v>
      </c>
      <c r="AO104" s="30"/>
      <c r="AP104" s="30"/>
      <c r="AQ104" s="30"/>
      <c r="AR104" s="30">
        <f>AM104-10%</f>
        <v>167229.9</v>
      </c>
      <c r="AS104" s="30"/>
      <c r="AT104" s="30"/>
      <c r="AU104" s="30"/>
      <c r="AV104" s="30"/>
      <c r="AW104" s="30"/>
      <c r="AX104" s="30"/>
      <c r="AY104" s="30"/>
      <c r="AZ104" s="30"/>
    </row>
    <row r="105" spans="1:52">
      <c r="A105" s="30">
        <v>103</v>
      </c>
      <c r="B105" s="135">
        <v>45619</v>
      </c>
      <c r="C105" s="136" t="s">
        <v>330</v>
      </c>
      <c r="D105" s="136" t="s">
        <v>36</v>
      </c>
      <c r="E105" s="136" t="s">
        <v>151</v>
      </c>
      <c r="F105" s="136" t="s">
        <v>167</v>
      </c>
      <c r="G105" s="136" t="s">
        <v>168</v>
      </c>
      <c r="H105" s="136">
        <v>544</v>
      </c>
      <c r="I105" s="136" t="s">
        <v>36</v>
      </c>
      <c r="J105" s="4"/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21">
        <f t="shared" si="20"/>
        <v>0</v>
      </c>
      <c r="R105" s="51">
        <f t="shared" si="27"/>
        <v>0</v>
      </c>
      <c r="S105" s="52">
        <f t="shared" si="23"/>
        <v>0</v>
      </c>
      <c r="T105" s="30">
        <v>50</v>
      </c>
      <c r="U105" s="30">
        <v>29.9</v>
      </c>
      <c r="V105" s="30">
        <v>0</v>
      </c>
      <c r="W105" s="30">
        <v>750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f>U105+V105</f>
        <v>29.9</v>
      </c>
      <c r="AK105" s="54">
        <f t="shared" si="25"/>
        <v>1495</v>
      </c>
      <c r="AL105" s="54">
        <f t="shared" si="28"/>
        <v>2245</v>
      </c>
      <c r="AM105" s="23">
        <f t="shared" si="26"/>
        <v>2245</v>
      </c>
      <c r="AN105" s="30">
        <f t="shared" si="22"/>
        <v>50</v>
      </c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</row>
    <row r="106" spans="1:52">
      <c r="A106" s="30">
        <v>104</v>
      </c>
      <c r="B106" s="135">
        <v>45619</v>
      </c>
      <c r="C106" s="136" t="s">
        <v>170</v>
      </c>
      <c r="D106" s="136" t="s">
        <v>20</v>
      </c>
      <c r="E106" s="136" t="s">
        <v>328</v>
      </c>
      <c r="F106" s="136" t="s">
        <v>171</v>
      </c>
      <c r="G106" s="136" t="s">
        <v>168</v>
      </c>
      <c r="H106" s="136">
        <v>539</v>
      </c>
      <c r="I106" s="136" t="s">
        <v>331</v>
      </c>
      <c r="J106" s="4"/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21">
        <f t="shared" si="20"/>
        <v>0</v>
      </c>
      <c r="R106" s="51">
        <f t="shared" si="27"/>
        <v>0</v>
      </c>
      <c r="S106" s="52">
        <f t="shared" si="23"/>
        <v>0</v>
      </c>
      <c r="T106" s="30">
        <v>112</v>
      </c>
      <c r="U106" s="30">
        <v>80</v>
      </c>
      <c r="V106" s="30">
        <v>0</v>
      </c>
      <c r="W106" s="30">
        <v>500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f t="shared" ref="AJ106:AJ148" si="29">U106+V106</f>
        <v>80</v>
      </c>
      <c r="AK106" s="54">
        <f t="shared" si="25"/>
        <v>8960</v>
      </c>
      <c r="AL106" s="54">
        <f t="shared" si="28"/>
        <v>9460</v>
      </c>
      <c r="AM106" s="23">
        <f t="shared" si="26"/>
        <v>9460</v>
      </c>
      <c r="AN106" s="30">
        <f t="shared" si="22"/>
        <v>112</v>
      </c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</row>
    <row r="107" spans="1:52">
      <c r="A107" s="30">
        <v>105</v>
      </c>
      <c r="B107" s="89">
        <v>45491</v>
      </c>
      <c r="C107" s="90" t="s">
        <v>334</v>
      </c>
      <c r="D107" s="90" t="s">
        <v>335</v>
      </c>
      <c r="E107" s="90" t="s">
        <v>202</v>
      </c>
      <c r="F107" s="90" t="s">
        <v>209</v>
      </c>
      <c r="G107" s="90" t="s">
        <v>168</v>
      </c>
      <c r="H107" s="90">
        <v>455</v>
      </c>
      <c r="I107" s="90" t="s">
        <v>262</v>
      </c>
      <c r="J107" s="4"/>
      <c r="K107" s="30">
        <v>36.67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21">
        <f>K107+L107</f>
        <v>36.67</v>
      </c>
      <c r="R107" s="51">
        <f t="shared" si="27"/>
        <v>5500.5</v>
      </c>
      <c r="S107" s="52">
        <f t="shared" si="23"/>
        <v>5500.5</v>
      </c>
      <c r="T107" s="30">
        <v>150</v>
      </c>
      <c r="U107" s="30">
        <v>121.38</v>
      </c>
      <c r="V107" s="30">
        <v>0</v>
      </c>
      <c r="W107" s="30">
        <f>8660.92+2693.74</f>
        <v>11354.66</v>
      </c>
      <c r="X107" s="30">
        <v>632</v>
      </c>
      <c r="Y107" s="30">
        <v>0</v>
      </c>
      <c r="Z107" s="30">
        <v>316</v>
      </c>
      <c r="AA107" s="30">
        <v>0</v>
      </c>
      <c r="AB107" s="30">
        <v>0</v>
      </c>
      <c r="AC107" s="30">
        <v>0</v>
      </c>
      <c r="AD107" s="30">
        <v>33</v>
      </c>
      <c r="AE107" s="30">
        <f>121.38+36.67</f>
        <v>158.05000000000001</v>
      </c>
      <c r="AF107" s="30">
        <v>0</v>
      </c>
      <c r="AG107" s="30">
        <v>0</v>
      </c>
      <c r="AH107" s="30">
        <v>0</v>
      </c>
      <c r="AI107" s="30">
        <f>757.84+2057.12+3000</f>
        <v>5814.96</v>
      </c>
      <c r="AJ107" s="30">
        <f t="shared" si="29"/>
        <v>121.38</v>
      </c>
      <c r="AK107" s="54">
        <f t="shared" si="25"/>
        <v>18207</v>
      </c>
      <c r="AL107" s="54">
        <f t="shared" si="28"/>
        <v>36482.67</v>
      </c>
      <c r="AM107" s="23">
        <f t="shared" si="26"/>
        <v>41983.17</v>
      </c>
      <c r="AN107" s="30">
        <f t="shared" si="22"/>
        <v>183</v>
      </c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</row>
    <row r="108" spans="1:52">
      <c r="A108" s="30">
        <v>106</v>
      </c>
      <c r="B108" s="135">
        <v>45638</v>
      </c>
      <c r="C108" s="136" t="s">
        <v>339</v>
      </c>
      <c r="D108" s="136" t="s">
        <v>340</v>
      </c>
      <c r="E108" s="136" t="s">
        <v>341</v>
      </c>
      <c r="F108" s="136" t="s">
        <v>209</v>
      </c>
      <c r="G108" s="136" t="s">
        <v>168</v>
      </c>
      <c r="H108" s="136">
        <v>543</v>
      </c>
      <c r="I108" s="136" t="s">
        <v>339</v>
      </c>
      <c r="J108" s="4"/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21">
        <f t="shared" si="20"/>
        <v>0</v>
      </c>
      <c r="R108" s="51">
        <f t="shared" si="27"/>
        <v>0</v>
      </c>
      <c r="S108" s="52">
        <f t="shared" si="23"/>
        <v>0</v>
      </c>
      <c r="T108" s="30">
        <v>30</v>
      </c>
      <c r="U108" s="30">
        <f>3000/30</f>
        <v>100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54">
        <f>(U108*T108)</f>
        <v>3000</v>
      </c>
      <c r="AL108" s="54">
        <f>AK108+AI108+AH108+AG108+AF108+AE108+AB108+AC108+AA108+Z108+Y108+X108+W108</f>
        <v>3000</v>
      </c>
      <c r="AM108" s="23">
        <f>S108+AL108</f>
        <v>3000</v>
      </c>
      <c r="AN108" s="30">
        <f t="shared" si="22"/>
        <v>30</v>
      </c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</row>
    <row r="109" spans="1:52">
      <c r="A109" s="65">
        <v>107</v>
      </c>
      <c r="B109" s="135">
        <v>45636</v>
      </c>
      <c r="C109" s="136" t="s">
        <v>343</v>
      </c>
      <c r="D109" s="136" t="s">
        <v>344</v>
      </c>
      <c r="E109" s="136" t="s">
        <v>151</v>
      </c>
      <c r="F109" s="136" t="s">
        <v>345</v>
      </c>
      <c r="G109" s="136" t="s">
        <v>168</v>
      </c>
      <c r="H109" s="136">
        <v>536</v>
      </c>
      <c r="I109" s="136" t="s">
        <v>346</v>
      </c>
      <c r="J109" s="4"/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21">
        <f t="shared" si="20"/>
        <v>0</v>
      </c>
      <c r="R109" s="51">
        <f t="shared" si="27"/>
        <v>0</v>
      </c>
      <c r="S109" s="52">
        <f t="shared" si="23"/>
        <v>0</v>
      </c>
      <c r="T109" s="30">
        <v>650</v>
      </c>
      <c r="U109" s="30">
        <v>0</v>
      </c>
      <c r="V109" s="30">
        <v>9.9</v>
      </c>
      <c r="W109" s="30">
        <v>0</v>
      </c>
      <c r="X109" s="30">
        <f>45*10</f>
        <v>450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30">
        <v>0</v>
      </c>
      <c r="AG109" s="30">
        <v>0</v>
      </c>
      <c r="AH109" s="30">
        <v>0</v>
      </c>
      <c r="AI109" s="30">
        <v>0</v>
      </c>
      <c r="AJ109" s="30">
        <f>U109+V109</f>
        <v>9.9</v>
      </c>
      <c r="AK109" s="54">
        <f>(AJ109*T109)</f>
        <v>6435</v>
      </c>
      <c r="AL109" s="54">
        <f t="shared" ref="AL109:AL116" si="30">AK109+AI109+AH109+AG109+AF109+AE109+AB109+AC109+AA109+Z109+Y109+X109+W109</f>
        <v>6885</v>
      </c>
      <c r="AM109" s="23">
        <f t="shared" ref="AM109:AM150" si="31">S109+AL109</f>
        <v>6885</v>
      </c>
      <c r="AN109" s="30">
        <f t="shared" si="22"/>
        <v>650</v>
      </c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</row>
    <row r="110" spans="1:52">
      <c r="A110" s="30">
        <v>108</v>
      </c>
      <c r="B110" s="135">
        <v>45639</v>
      </c>
      <c r="C110" s="136" t="s">
        <v>347</v>
      </c>
      <c r="D110" s="136" t="s">
        <v>348</v>
      </c>
      <c r="E110" s="136" t="s">
        <v>151</v>
      </c>
      <c r="F110" s="136" t="s">
        <v>209</v>
      </c>
      <c r="G110" s="136" t="s">
        <v>168</v>
      </c>
      <c r="H110" s="136">
        <v>521</v>
      </c>
      <c r="I110" s="136" t="s">
        <v>349</v>
      </c>
      <c r="J110" s="4"/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21">
        <f t="shared" si="20"/>
        <v>0</v>
      </c>
      <c r="R110" s="51">
        <f t="shared" si="27"/>
        <v>0</v>
      </c>
      <c r="S110" s="52">
        <f t="shared" si="23"/>
        <v>0</v>
      </c>
      <c r="T110" s="30">
        <v>1200</v>
      </c>
      <c r="U110" s="30">
        <v>0</v>
      </c>
      <c r="V110" s="30">
        <v>0</v>
      </c>
      <c r="W110" s="30">
        <f>15000+7000+300+1000+2580</f>
        <v>25880</v>
      </c>
      <c r="X110" s="30">
        <v>0</v>
      </c>
      <c r="Y110" s="30">
        <v>0</v>
      </c>
      <c r="Z110" s="30">
        <v>0</v>
      </c>
      <c r="AA110" s="30">
        <v>0</v>
      </c>
      <c r="AB110" s="30">
        <f>15015</f>
        <v>15015</v>
      </c>
      <c r="AC110" s="30">
        <v>0</v>
      </c>
      <c r="AD110" s="30">
        <v>0</v>
      </c>
      <c r="AE110" s="30">
        <v>0</v>
      </c>
      <c r="AF110" s="30">
        <v>0</v>
      </c>
      <c r="AG110" s="30">
        <v>0</v>
      </c>
      <c r="AH110" s="30">
        <v>0</v>
      </c>
      <c r="AI110" s="30">
        <v>0</v>
      </c>
      <c r="AJ110" s="30">
        <f t="shared" ref="AJ110:AJ112" si="32">U110+V110</f>
        <v>0</v>
      </c>
      <c r="AK110" s="54">
        <f t="shared" ref="AK110:AK148" si="33">(AJ110*T110)</f>
        <v>0</v>
      </c>
      <c r="AL110" s="54">
        <f t="shared" si="30"/>
        <v>40895</v>
      </c>
      <c r="AM110" s="23">
        <f t="shared" si="31"/>
        <v>40895</v>
      </c>
      <c r="AN110" s="30">
        <f t="shared" si="22"/>
        <v>1200</v>
      </c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</row>
    <row r="111" spans="1:52">
      <c r="A111" s="30">
        <v>109</v>
      </c>
      <c r="B111" s="135">
        <v>45640</v>
      </c>
      <c r="C111" s="136" t="s">
        <v>308</v>
      </c>
      <c r="D111" s="136" t="s">
        <v>15</v>
      </c>
      <c r="E111" s="136" t="s">
        <v>152</v>
      </c>
      <c r="F111" s="136" t="s">
        <v>209</v>
      </c>
      <c r="G111" s="136" t="s">
        <v>168</v>
      </c>
      <c r="H111" s="136">
        <v>510</v>
      </c>
      <c r="I111" s="136" t="s">
        <v>427</v>
      </c>
      <c r="J111" s="4"/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21">
        <f t="shared" si="20"/>
        <v>0</v>
      </c>
      <c r="R111" s="51">
        <f t="shared" si="27"/>
        <v>0</v>
      </c>
      <c r="S111" s="52">
        <f t="shared" si="23"/>
        <v>0</v>
      </c>
      <c r="T111" s="30">
        <v>771</v>
      </c>
      <c r="U111" s="30">
        <v>106.343709</v>
      </c>
      <c r="V111" s="30">
        <v>0</v>
      </c>
      <c r="W111" s="30">
        <v>500</v>
      </c>
      <c r="X111" s="30">
        <v>0</v>
      </c>
      <c r="Y111" s="30">
        <v>0</v>
      </c>
      <c r="Z111" s="30">
        <v>0</v>
      </c>
      <c r="AA111" s="30">
        <v>220</v>
      </c>
      <c r="AB111" s="30">
        <v>0</v>
      </c>
      <c r="AC111" s="30">
        <v>0</v>
      </c>
      <c r="AD111" s="30"/>
      <c r="AE111" s="30"/>
      <c r="AF111" s="30">
        <v>0</v>
      </c>
      <c r="AG111" s="30">
        <v>0</v>
      </c>
      <c r="AH111" s="30">
        <v>0</v>
      </c>
      <c r="AI111" s="30">
        <v>0</v>
      </c>
      <c r="AJ111" s="30">
        <f t="shared" si="32"/>
        <v>106.343709</v>
      </c>
      <c r="AK111" s="54">
        <f t="shared" si="33"/>
        <v>81990.999639000001</v>
      </c>
      <c r="AL111" s="54">
        <f t="shared" si="30"/>
        <v>82710.999639000001</v>
      </c>
      <c r="AM111" s="23">
        <f t="shared" si="31"/>
        <v>82710.999639000001</v>
      </c>
      <c r="AN111" s="30">
        <f t="shared" si="22"/>
        <v>771</v>
      </c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</row>
    <row r="112" spans="1:52">
      <c r="A112" s="30">
        <v>110</v>
      </c>
      <c r="B112" s="135">
        <v>45638</v>
      </c>
      <c r="C112" s="136" t="s">
        <v>358</v>
      </c>
      <c r="D112" s="136" t="s">
        <v>271</v>
      </c>
      <c r="E112" s="136" t="s">
        <v>151</v>
      </c>
      <c r="F112" s="136" t="s">
        <v>24</v>
      </c>
      <c r="G112" s="136" t="s">
        <v>168</v>
      </c>
      <c r="H112" s="136">
        <v>416</v>
      </c>
      <c r="I112" s="136" t="s">
        <v>252</v>
      </c>
      <c r="J112" s="4"/>
      <c r="K112" s="30">
        <v>39</v>
      </c>
      <c r="L112" s="30">
        <v>0</v>
      </c>
      <c r="M112" s="30">
        <v>0</v>
      </c>
      <c r="N112" s="30"/>
      <c r="O112" s="30">
        <v>0</v>
      </c>
      <c r="P112" s="30">
        <v>0</v>
      </c>
      <c r="Q112" s="21">
        <f t="shared" si="20"/>
        <v>39</v>
      </c>
      <c r="R112" s="51">
        <f t="shared" si="27"/>
        <v>31200</v>
      </c>
      <c r="S112" s="52">
        <f t="shared" si="23"/>
        <v>31200</v>
      </c>
      <c r="T112" s="30">
        <v>800</v>
      </c>
      <c r="U112" s="30">
        <v>70</v>
      </c>
      <c r="V112" s="30">
        <v>0</v>
      </c>
      <c r="W112" s="30">
        <v>11000</v>
      </c>
      <c r="X112" s="30">
        <v>0</v>
      </c>
      <c r="Y112" s="30">
        <v>0</v>
      </c>
      <c r="Z112" s="30">
        <v>2800</v>
      </c>
      <c r="AA112" s="30">
        <v>0</v>
      </c>
      <c r="AB112" s="30">
        <v>0</v>
      </c>
      <c r="AC112" s="30">
        <v>0</v>
      </c>
      <c r="AD112" s="30">
        <v>798</v>
      </c>
      <c r="AE112" s="30">
        <v>120</v>
      </c>
      <c r="AF112" s="30">
        <v>0</v>
      </c>
      <c r="AG112" s="30">
        <v>0</v>
      </c>
      <c r="AH112" s="30">
        <v>0</v>
      </c>
      <c r="AI112" s="30">
        <v>0</v>
      </c>
      <c r="AJ112" s="30">
        <f t="shared" si="32"/>
        <v>70</v>
      </c>
      <c r="AK112" s="54">
        <f t="shared" si="33"/>
        <v>56000</v>
      </c>
      <c r="AL112" s="54">
        <f t="shared" si="30"/>
        <v>69920</v>
      </c>
      <c r="AM112" s="23">
        <f t="shared" si="31"/>
        <v>101120</v>
      </c>
      <c r="AN112" s="30">
        <f t="shared" si="22"/>
        <v>1598</v>
      </c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</row>
    <row r="113" spans="1:52">
      <c r="A113" s="65">
        <v>111</v>
      </c>
      <c r="B113" s="135">
        <v>45632</v>
      </c>
      <c r="C113" s="136" t="s">
        <v>360</v>
      </c>
      <c r="D113" s="136" t="s">
        <v>344</v>
      </c>
      <c r="E113" s="136" t="s">
        <v>151</v>
      </c>
      <c r="F113" s="136" t="s">
        <v>24</v>
      </c>
      <c r="G113" s="136" t="s">
        <v>168</v>
      </c>
      <c r="H113" s="136">
        <v>481</v>
      </c>
      <c r="I113" s="136" t="s">
        <v>318</v>
      </c>
      <c r="J113" s="4"/>
      <c r="K113" s="30">
        <v>25</v>
      </c>
      <c r="L113" s="30">
        <v>25</v>
      </c>
      <c r="M113" s="30">
        <v>0</v>
      </c>
      <c r="N113" s="30">
        <v>0</v>
      </c>
      <c r="O113" s="30">
        <v>0</v>
      </c>
      <c r="P113" s="30"/>
      <c r="Q113" s="21">
        <f t="shared" si="20"/>
        <v>50</v>
      </c>
      <c r="R113" s="51">
        <f t="shared" si="27"/>
        <v>52250</v>
      </c>
      <c r="S113" s="52">
        <f t="shared" si="23"/>
        <v>52250</v>
      </c>
      <c r="T113" s="30">
        <v>1045</v>
      </c>
      <c r="U113" s="30">
        <v>120</v>
      </c>
      <c r="V113" s="30">
        <v>14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30">
        <v>107</v>
      </c>
      <c r="AE113" s="30">
        <v>202.220339</v>
      </c>
      <c r="AF113" s="30">
        <f>AD113*AE113</f>
        <v>21637.576272999999</v>
      </c>
      <c r="AG113" s="30">
        <v>0</v>
      </c>
      <c r="AH113" s="30">
        <v>0</v>
      </c>
      <c r="AI113" s="30">
        <v>0</v>
      </c>
      <c r="AJ113" s="30">
        <f t="shared" si="29"/>
        <v>134</v>
      </c>
      <c r="AK113" s="54">
        <f t="shared" si="33"/>
        <v>140030</v>
      </c>
      <c r="AL113" s="54">
        <f t="shared" si="30"/>
        <v>161869.79661199998</v>
      </c>
      <c r="AM113" s="23">
        <f t="shared" si="31"/>
        <v>214119.79661199998</v>
      </c>
      <c r="AN113" s="30">
        <f t="shared" si="22"/>
        <v>1152</v>
      </c>
      <c r="AO113" s="30"/>
      <c r="AP113" s="30"/>
      <c r="AQ113" s="71">
        <f>AK113*10%</f>
        <v>14003</v>
      </c>
      <c r="AR113" s="30"/>
      <c r="AS113" s="30"/>
      <c r="AT113" s="30"/>
      <c r="AU113" s="30"/>
      <c r="AV113" s="30"/>
      <c r="AW113" s="30"/>
      <c r="AX113" s="30"/>
      <c r="AY113" s="30"/>
      <c r="AZ113" s="30"/>
    </row>
    <row r="114" spans="1:52">
      <c r="A114" s="30">
        <v>112</v>
      </c>
      <c r="B114" s="135">
        <v>45633</v>
      </c>
      <c r="C114" s="136" t="s">
        <v>361</v>
      </c>
      <c r="D114" s="136" t="s">
        <v>20</v>
      </c>
      <c r="E114" s="136" t="s">
        <v>152</v>
      </c>
      <c r="F114" s="136" t="s">
        <v>24</v>
      </c>
      <c r="G114" s="136" t="s">
        <v>168</v>
      </c>
      <c r="H114" s="136">
        <v>547</v>
      </c>
      <c r="I114" s="136" t="s">
        <v>362</v>
      </c>
      <c r="J114" s="4"/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21">
        <f t="shared" si="20"/>
        <v>0</v>
      </c>
      <c r="R114" s="51">
        <f t="shared" si="27"/>
        <v>0</v>
      </c>
      <c r="S114" s="52">
        <f t="shared" si="23"/>
        <v>0</v>
      </c>
      <c r="T114" s="30">
        <v>1165</v>
      </c>
      <c r="U114" s="30">
        <v>128.52712399999999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30">
        <v>0</v>
      </c>
      <c r="AH114" s="30">
        <v>0</v>
      </c>
      <c r="AI114" s="30">
        <v>0</v>
      </c>
      <c r="AJ114" s="30">
        <f t="shared" si="29"/>
        <v>128.52712399999999</v>
      </c>
      <c r="AK114" s="54">
        <f t="shared" si="33"/>
        <v>149734.09946</v>
      </c>
      <c r="AL114" s="54">
        <f t="shared" si="30"/>
        <v>149734.09946</v>
      </c>
      <c r="AM114" s="23">
        <f t="shared" si="31"/>
        <v>149734.09946</v>
      </c>
      <c r="AN114" s="30">
        <f t="shared" si="22"/>
        <v>1165</v>
      </c>
      <c r="AO114" s="71">
        <f>AM114*10%</f>
        <v>14973.409946</v>
      </c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</row>
    <row r="115" spans="1:52">
      <c r="A115" s="30">
        <v>113</v>
      </c>
      <c r="B115" s="135">
        <v>45631</v>
      </c>
      <c r="C115" s="136" t="s">
        <v>363</v>
      </c>
      <c r="D115" s="136" t="s">
        <v>364</v>
      </c>
      <c r="E115" s="136" t="s">
        <v>151</v>
      </c>
      <c r="F115" s="136" t="s">
        <v>24</v>
      </c>
      <c r="G115" s="136" t="s">
        <v>168</v>
      </c>
      <c r="H115" s="136">
        <v>479</v>
      </c>
      <c r="I115" s="136" t="s">
        <v>318</v>
      </c>
      <c r="J115" s="4"/>
      <c r="K115" s="30">
        <v>29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21">
        <f>K115+L115</f>
        <v>29</v>
      </c>
      <c r="R115" s="51">
        <f t="shared" si="27"/>
        <v>30450</v>
      </c>
      <c r="S115" s="52">
        <f t="shared" si="23"/>
        <v>30450</v>
      </c>
      <c r="T115" s="30">
        <v>1050</v>
      </c>
      <c r="U115" s="30">
        <f>96+0.476190476</f>
        <v>96.476190475999999</v>
      </c>
      <c r="V115" s="30">
        <v>8</v>
      </c>
      <c r="W115" s="30">
        <v>0</v>
      </c>
      <c r="X115" s="30">
        <v>0</v>
      </c>
      <c r="Y115" s="30">
        <v>0</v>
      </c>
      <c r="Z115" s="30">
        <v>0</v>
      </c>
      <c r="AA115" s="30">
        <v>10000</v>
      </c>
      <c r="AB115" s="30">
        <v>0</v>
      </c>
      <c r="AC115" s="30">
        <v>0</v>
      </c>
      <c r="AD115" s="30">
        <v>302</v>
      </c>
      <c r="AE115" s="30">
        <v>32.049999999999997</v>
      </c>
      <c r="AF115" s="30">
        <v>0</v>
      </c>
      <c r="AG115" s="30">
        <v>0</v>
      </c>
      <c r="AH115" s="30">
        <v>0</v>
      </c>
      <c r="AI115" s="30">
        <v>0</v>
      </c>
      <c r="AJ115" s="30">
        <f t="shared" si="29"/>
        <v>104.476190476</v>
      </c>
      <c r="AK115" s="54">
        <f t="shared" si="33"/>
        <v>109699.9999998</v>
      </c>
      <c r="AL115" s="54">
        <f t="shared" si="30"/>
        <v>119732.0499998</v>
      </c>
      <c r="AM115" s="23">
        <f t="shared" si="31"/>
        <v>150182.04999979999</v>
      </c>
      <c r="AN115" s="30">
        <f t="shared" si="22"/>
        <v>1352</v>
      </c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</row>
    <row r="116" spans="1:52">
      <c r="A116" s="30">
        <v>114</v>
      </c>
      <c r="B116" s="135">
        <v>45625</v>
      </c>
      <c r="C116" s="136" t="s">
        <v>370</v>
      </c>
      <c r="D116" s="136"/>
      <c r="E116" s="136" t="s">
        <v>151</v>
      </c>
      <c r="F116" s="136" t="s">
        <v>13</v>
      </c>
      <c r="G116" s="136" t="s">
        <v>168</v>
      </c>
      <c r="H116" s="136">
        <v>489</v>
      </c>
      <c r="I116" s="136" t="s">
        <v>371</v>
      </c>
      <c r="J116" s="4"/>
      <c r="K116" s="30">
        <f>25</f>
        <v>25</v>
      </c>
      <c r="L116" s="30">
        <f>68-25</f>
        <v>43</v>
      </c>
      <c r="M116" s="30">
        <v>0</v>
      </c>
      <c r="N116" s="30">
        <v>0</v>
      </c>
      <c r="O116" s="30">
        <v>0</v>
      </c>
      <c r="P116" s="30">
        <v>0</v>
      </c>
      <c r="Q116" s="21">
        <f>K116+L116</f>
        <v>68</v>
      </c>
      <c r="R116" s="51">
        <f t="shared" si="27"/>
        <v>68000</v>
      </c>
      <c r="S116" s="52">
        <f t="shared" si="23"/>
        <v>68000</v>
      </c>
      <c r="T116" s="30">
        <v>1000</v>
      </c>
      <c r="U116" s="30">
        <v>109</v>
      </c>
      <c r="V116" s="30">
        <v>0</v>
      </c>
      <c r="W116" s="30">
        <v>11900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30">
        <v>0</v>
      </c>
      <c r="AG116" s="30">
        <v>0</v>
      </c>
      <c r="AH116" s="30">
        <v>0</v>
      </c>
      <c r="AI116" s="30">
        <v>28410</v>
      </c>
      <c r="AJ116" s="30">
        <f t="shared" si="29"/>
        <v>109</v>
      </c>
      <c r="AK116" s="54">
        <f t="shared" si="33"/>
        <v>109000</v>
      </c>
      <c r="AL116" s="54">
        <f t="shared" si="30"/>
        <v>149310</v>
      </c>
      <c r="AM116" s="23">
        <f t="shared" si="31"/>
        <v>217310</v>
      </c>
      <c r="AN116" s="30">
        <f t="shared" si="22"/>
        <v>1000</v>
      </c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</row>
    <row r="117" spans="1:52">
      <c r="A117" s="30">
        <v>115</v>
      </c>
      <c r="B117" s="135">
        <v>45609</v>
      </c>
      <c r="C117" s="136" t="s">
        <v>376</v>
      </c>
      <c r="D117" s="136" t="s">
        <v>36</v>
      </c>
      <c r="E117" s="136" t="s">
        <v>151</v>
      </c>
      <c r="F117" s="136" t="s">
        <v>167</v>
      </c>
      <c r="G117" s="136" t="s">
        <v>168</v>
      </c>
      <c r="H117" s="136">
        <v>531</v>
      </c>
      <c r="I117" s="136" t="s">
        <v>36</v>
      </c>
      <c r="J117" s="4"/>
      <c r="K117" s="30">
        <f>25-2.71-0.00625</f>
        <v>22.283749999999998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21">
        <f>K117+L117</f>
        <v>22.283749999999998</v>
      </c>
      <c r="R117" s="51">
        <f t="shared" si="27"/>
        <v>7130.7999999999993</v>
      </c>
      <c r="S117" s="52">
        <f t="shared" si="23"/>
        <v>7130.7999999999993</v>
      </c>
      <c r="T117" s="30">
        <v>320</v>
      </c>
      <c r="U117" s="30">
        <v>65</v>
      </c>
      <c r="V117" s="30">
        <v>0</v>
      </c>
      <c r="W117" s="30">
        <v>920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30">
        <v>0</v>
      </c>
      <c r="AG117" s="30">
        <v>0</v>
      </c>
      <c r="AH117" s="30">
        <v>0</v>
      </c>
      <c r="AI117" s="30">
        <v>0</v>
      </c>
      <c r="AJ117" s="30">
        <f t="shared" si="29"/>
        <v>65</v>
      </c>
      <c r="AK117" s="54">
        <f t="shared" si="33"/>
        <v>20800</v>
      </c>
      <c r="AL117" s="54">
        <f t="shared" ref="AL117:AL143" si="34">AK117+AI117+AH117+AG117+AF117+AE117+AB117+AC117+AA117+Z117+Y117+X117+W117</f>
        <v>21720</v>
      </c>
      <c r="AM117" s="23">
        <f t="shared" si="31"/>
        <v>28850.799999999999</v>
      </c>
      <c r="AN117" s="30">
        <f t="shared" si="22"/>
        <v>320</v>
      </c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</row>
    <row r="118" spans="1:52">
      <c r="A118" s="30">
        <v>116</v>
      </c>
      <c r="B118" s="135">
        <v>45633</v>
      </c>
      <c r="C118" s="136" t="s">
        <v>379</v>
      </c>
      <c r="D118" s="136"/>
      <c r="E118" s="136" t="s">
        <v>153</v>
      </c>
      <c r="F118" s="136" t="s">
        <v>156</v>
      </c>
      <c r="G118" s="136" t="s">
        <v>168</v>
      </c>
      <c r="H118" s="136">
        <v>540</v>
      </c>
      <c r="I118" s="136" t="s">
        <v>380</v>
      </c>
      <c r="J118" s="4"/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21">
        <v>0</v>
      </c>
      <c r="R118" s="51">
        <f t="shared" si="27"/>
        <v>0</v>
      </c>
      <c r="S118" s="52">
        <f t="shared" si="23"/>
        <v>0</v>
      </c>
      <c r="T118" s="30">
        <v>60</v>
      </c>
      <c r="U118" s="30">
        <f>45+109</f>
        <v>154</v>
      </c>
      <c r="V118" s="30">
        <v>0</v>
      </c>
      <c r="W118" s="30">
        <v>1850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30">
        <v>0</v>
      </c>
      <c r="AG118" s="30">
        <v>0</v>
      </c>
      <c r="AH118" s="30">
        <v>0</v>
      </c>
      <c r="AI118" s="30">
        <v>0</v>
      </c>
      <c r="AJ118" s="30">
        <f t="shared" si="29"/>
        <v>154</v>
      </c>
      <c r="AK118" s="54">
        <f t="shared" si="33"/>
        <v>9240</v>
      </c>
      <c r="AL118" s="54">
        <f t="shared" si="34"/>
        <v>11090</v>
      </c>
      <c r="AM118" s="23">
        <f t="shared" si="31"/>
        <v>11090</v>
      </c>
      <c r="AN118" s="30">
        <f t="shared" si="22"/>
        <v>60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/>
      <c r="AV118" s="30">
        <v>0</v>
      </c>
      <c r="AW118" s="30">
        <v>0</v>
      </c>
      <c r="AX118" s="30"/>
      <c r="AY118" s="30"/>
      <c r="AZ118" s="30"/>
    </row>
    <row r="119" spans="1:52">
      <c r="A119" s="30">
        <v>118</v>
      </c>
      <c r="B119" s="135">
        <v>45311</v>
      </c>
      <c r="C119" s="136" t="s">
        <v>494</v>
      </c>
      <c r="D119" s="136"/>
      <c r="E119" s="136" t="s">
        <v>152</v>
      </c>
      <c r="F119" s="136" t="s">
        <v>24</v>
      </c>
      <c r="G119" s="136" t="s">
        <v>168</v>
      </c>
      <c r="H119" s="136">
        <v>364</v>
      </c>
      <c r="I119" s="134" t="s">
        <v>252</v>
      </c>
      <c r="J119" s="4"/>
      <c r="K119" s="30">
        <v>18.87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21">
        <f>K119+L119</f>
        <v>18.87</v>
      </c>
      <c r="R119" s="51">
        <f t="shared" si="27"/>
        <v>9057.6</v>
      </c>
      <c r="S119" s="52">
        <f t="shared" si="23"/>
        <v>9057.6</v>
      </c>
      <c r="T119" s="30">
        <v>480</v>
      </c>
      <c r="U119" s="30">
        <v>100</v>
      </c>
      <c r="V119" s="30">
        <v>0</v>
      </c>
      <c r="W119" s="30">
        <v>900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30">
        <v>0</v>
      </c>
      <c r="AG119" s="30">
        <v>0</v>
      </c>
      <c r="AH119" s="30">
        <v>0</v>
      </c>
      <c r="AI119" s="30">
        <v>0</v>
      </c>
      <c r="AJ119" s="30">
        <f t="shared" si="29"/>
        <v>100</v>
      </c>
      <c r="AK119" s="54">
        <f t="shared" si="33"/>
        <v>48000</v>
      </c>
      <c r="AL119" s="54">
        <f t="shared" si="34"/>
        <v>48900</v>
      </c>
      <c r="AM119" s="23">
        <f t="shared" si="31"/>
        <v>57957.599999999999</v>
      </c>
      <c r="AN119" s="30">
        <f t="shared" si="22"/>
        <v>480</v>
      </c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</row>
    <row r="120" spans="1:52">
      <c r="A120" s="30">
        <v>119</v>
      </c>
      <c r="B120" s="135">
        <v>45458</v>
      </c>
      <c r="C120" s="136" t="s">
        <v>495</v>
      </c>
      <c r="D120" s="136"/>
      <c r="E120" s="136" t="s">
        <v>152</v>
      </c>
      <c r="F120" s="136"/>
      <c r="G120" s="136" t="s">
        <v>168</v>
      </c>
      <c r="H120" s="136">
        <v>432</v>
      </c>
      <c r="I120" s="134" t="s">
        <v>252</v>
      </c>
      <c r="J120" s="4"/>
      <c r="K120" s="30">
        <f>15-2.6710593</f>
        <v>12.3289407</v>
      </c>
      <c r="L120" s="30"/>
      <c r="M120" s="30"/>
      <c r="N120" s="30"/>
      <c r="O120" s="30"/>
      <c r="P120" s="30"/>
      <c r="Q120" s="21">
        <f>K120+L120</f>
        <v>12.3289407</v>
      </c>
      <c r="R120" s="51">
        <f t="shared" si="27"/>
        <v>24325.000001100001</v>
      </c>
      <c r="S120" s="52">
        <f t="shared" si="23"/>
        <v>24325.000001100001</v>
      </c>
      <c r="T120" s="30">
        <v>1973</v>
      </c>
      <c r="U120" s="30">
        <v>85</v>
      </c>
      <c r="V120" s="30">
        <v>0</v>
      </c>
      <c r="W120" s="30">
        <f>25000+2000+5400</f>
        <v>32400</v>
      </c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>
        <f t="shared" si="29"/>
        <v>85</v>
      </c>
      <c r="AK120" s="54">
        <f t="shared" si="33"/>
        <v>167705</v>
      </c>
      <c r="AL120" s="54">
        <f t="shared" si="34"/>
        <v>200105</v>
      </c>
      <c r="AM120" s="23">
        <f t="shared" si="31"/>
        <v>224430.00000110001</v>
      </c>
      <c r="AN120" s="30">
        <f t="shared" si="22"/>
        <v>1973</v>
      </c>
      <c r="AO120" s="30">
        <v>0</v>
      </c>
      <c r="AP120" s="30">
        <v>0</v>
      </c>
      <c r="AQ120" s="30">
        <v>0</v>
      </c>
      <c r="AR120" s="30">
        <v>0</v>
      </c>
      <c r="AS120" s="71">
        <f>AM120*10%</f>
        <v>22443.000000110002</v>
      </c>
      <c r="AT120" s="30"/>
      <c r="AU120" s="30"/>
      <c r="AV120" s="30"/>
      <c r="AW120" s="30"/>
      <c r="AX120" s="30"/>
      <c r="AY120" s="30"/>
      <c r="AZ120" s="30"/>
    </row>
    <row r="121" spans="1:52">
      <c r="A121" s="30">
        <v>120</v>
      </c>
      <c r="B121" s="163">
        <v>45463</v>
      </c>
      <c r="C121" s="164" t="s">
        <v>585</v>
      </c>
      <c r="D121" s="164"/>
      <c r="E121" s="164" t="s">
        <v>151</v>
      </c>
      <c r="F121" s="164"/>
      <c r="G121" s="164" t="s">
        <v>168</v>
      </c>
      <c r="H121" s="164">
        <v>567</v>
      </c>
      <c r="I121" s="164"/>
      <c r="J121" s="4"/>
      <c r="K121" s="30"/>
      <c r="L121" s="30"/>
      <c r="M121" s="30"/>
      <c r="N121" s="30"/>
      <c r="O121" s="30"/>
      <c r="P121" s="30"/>
      <c r="Q121" s="21">
        <f t="shared" si="20"/>
        <v>0</v>
      </c>
      <c r="R121" s="51">
        <f t="shared" si="27"/>
        <v>0</v>
      </c>
      <c r="S121" s="52">
        <f t="shared" si="23"/>
        <v>0</v>
      </c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>
        <f t="shared" si="29"/>
        <v>0</v>
      </c>
      <c r="AK121" s="54">
        <f t="shared" si="33"/>
        <v>0</v>
      </c>
      <c r="AL121" s="54">
        <f t="shared" si="34"/>
        <v>0</v>
      </c>
      <c r="AM121" s="23">
        <f t="shared" si="31"/>
        <v>0</v>
      </c>
      <c r="AN121" s="30">
        <f t="shared" si="22"/>
        <v>0</v>
      </c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</row>
    <row r="122" spans="1:52">
      <c r="A122" s="30">
        <v>123</v>
      </c>
      <c r="B122" s="145">
        <v>45497</v>
      </c>
      <c r="C122" s="49" t="s">
        <v>586</v>
      </c>
      <c r="D122" s="49" t="s">
        <v>496</v>
      </c>
      <c r="E122" s="49" t="s">
        <v>151</v>
      </c>
      <c r="F122" s="49"/>
      <c r="G122" s="49" t="s">
        <v>168</v>
      </c>
      <c r="H122" s="49">
        <v>463</v>
      </c>
      <c r="I122" s="49"/>
      <c r="J122" s="4"/>
      <c r="K122" s="30"/>
      <c r="L122" s="30"/>
      <c r="M122" s="30"/>
      <c r="N122" s="30"/>
      <c r="O122" s="30"/>
      <c r="P122" s="30"/>
      <c r="Q122" s="21">
        <f t="shared" si="20"/>
        <v>0</v>
      </c>
      <c r="R122" s="51">
        <f t="shared" si="27"/>
        <v>0</v>
      </c>
      <c r="S122" s="52">
        <f t="shared" si="23"/>
        <v>0</v>
      </c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>
        <f t="shared" si="29"/>
        <v>0</v>
      </c>
      <c r="AK122" s="54">
        <f t="shared" si="33"/>
        <v>0</v>
      </c>
      <c r="AL122" s="54">
        <f t="shared" si="34"/>
        <v>0</v>
      </c>
      <c r="AM122" s="23">
        <f t="shared" si="31"/>
        <v>0</v>
      </c>
      <c r="AN122" s="30">
        <f t="shared" si="22"/>
        <v>0</v>
      </c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</row>
    <row r="123" spans="1:52">
      <c r="A123" s="30">
        <v>124</v>
      </c>
      <c r="B123" s="158">
        <v>45498</v>
      </c>
      <c r="C123" s="159" t="s">
        <v>497</v>
      </c>
      <c r="D123" s="159"/>
      <c r="E123" s="159"/>
      <c r="F123" s="159" t="s">
        <v>13</v>
      </c>
      <c r="G123" s="159" t="s">
        <v>168</v>
      </c>
      <c r="H123" s="159">
        <v>462</v>
      </c>
      <c r="I123" s="159" t="s">
        <v>497</v>
      </c>
      <c r="J123" s="4"/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21">
        <f t="shared" si="20"/>
        <v>0</v>
      </c>
      <c r="R123" s="51">
        <f t="shared" si="27"/>
        <v>0</v>
      </c>
      <c r="S123" s="52">
        <f t="shared" si="23"/>
        <v>0</v>
      </c>
      <c r="T123" s="160">
        <v>350</v>
      </c>
      <c r="U123" s="59">
        <v>53.565340900000002</v>
      </c>
      <c r="V123" s="59">
        <v>0</v>
      </c>
      <c r="W123" s="59">
        <f>2000+2750</f>
        <v>4750</v>
      </c>
      <c r="X123" s="59">
        <v>0</v>
      </c>
      <c r="Y123" s="59">
        <v>0</v>
      </c>
      <c r="Z123" s="59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30">
        <v>0</v>
      </c>
      <c r="AG123" s="30">
        <v>0</v>
      </c>
      <c r="AH123" s="30"/>
      <c r="AI123" s="30">
        <v>1466.13</v>
      </c>
      <c r="AJ123" s="30">
        <f t="shared" si="29"/>
        <v>53.565340900000002</v>
      </c>
      <c r="AK123" s="54">
        <f t="shared" si="33"/>
        <v>18747.869315</v>
      </c>
      <c r="AL123" s="54">
        <f t="shared" si="34"/>
        <v>24963.999315000001</v>
      </c>
      <c r="AM123" s="23">
        <f t="shared" si="31"/>
        <v>24963.999315000001</v>
      </c>
      <c r="AN123" s="30">
        <f t="shared" si="22"/>
        <v>350</v>
      </c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</row>
    <row r="124" spans="1:52">
      <c r="A124" s="30">
        <v>125</v>
      </c>
      <c r="B124" s="163">
        <v>45574</v>
      </c>
      <c r="C124" s="164" t="s">
        <v>498</v>
      </c>
      <c r="D124" s="164"/>
      <c r="E124" s="164" t="s">
        <v>151</v>
      </c>
      <c r="F124" s="164" t="s">
        <v>56</v>
      </c>
      <c r="G124" s="164" t="s">
        <v>168</v>
      </c>
      <c r="H124" s="164">
        <v>488</v>
      </c>
      <c r="I124" s="134"/>
      <c r="J124" s="4"/>
      <c r="K124" s="30"/>
      <c r="L124" s="30"/>
      <c r="M124" s="30"/>
      <c r="N124" s="30"/>
      <c r="O124" s="30"/>
      <c r="P124" s="30"/>
      <c r="Q124" s="21">
        <f t="shared" si="20"/>
        <v>0</v>
      </c>
      <c r="R124" s="51">
        <f t="shared" si="27"/>
        <v>0</v>
      </c>
      <c r="S124" s="52">
        <f t="shared" si="23"/>
        <v>0</v>
      </c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>
        <f t="shared" si="29"/>
        <v>0</v>
      </c>
      <c r="AK124" s="54">
        <f t="shared" si="33"/>
        <v>0</v>
      </c>
      <c r="AL124" s="54">
        <f t="shared" si="34"/>
        <v>0</v>
      </c>
      <c r="AM124" s="23">
        <f t="shared" si="31"/>
        <v>0</v>
      </c>
      <c r="AN124" s="30">
        <f t="shared" si="22"/>
        <v>0</v>
      </c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</row>
    <row r="125" spans="1:52">
      <c r="A125" s="30">
        <v>126</v>
      </c>
      <c r="B125" s="133">
        <v>45631</v>
      </c>
      <c r="C125" s="134" t="s">
        <v>512</v>
      </c>
      <c r="D125" s="134" t="s">
        <v>187</v>
      </c>
      <c r="E125" s="134" t="s">
        <v>151</v>
      </c>
      <c r="F125" s="134" t="s">
        <v>209</v>
      </c>
      <c r="G125" s="134" t="s">
        <v>168</v>
      </c>
      <c r="H125" s="134">
        <v>560</v>
      </c>
      <c r="I125" s="134"/>
      <c r="J125" s="4"/>
      <c r="K125" s="30">
        <v>20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21">
        <f>K125+L125</f>
        <v>20</v>
      </c>
      <c r="R125" s="51">
        <f t="shared" si="27"/>
        <v>360</v>
      </c>
      <c r="S125" s="52">
        <f t="shared" si="23"/>
        <v>360</v>
      </c>
      <c r="T125" s="30">
        <v>18</v>
      </c>
      <c r="U125" s="30">
        <v>65</v>
      </c>
      <c r="V125" s="30">
        <v>0</v>
      </c>
      <c r="W125" s="30">
        <v>750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513</v>
      </c>
      <c r="AJ125" s="30">
        <f t="shared" si="29"/>
        <v>65</v>
      </c>
      <c r="AK125" s="54">
        <f t="shared" si="33"/>
        <v>1170</v>
      </c>
      <c r="AL125" s="54">
        <f t="shared" si="34"/>
        <v>2433</v>
      </c>
      <c r="AM125" s="23">
        <f t="shared" si="31"/>
        <v>2793</v>
      </c>
      <c r="AN125" s="30">
        <f t="shared" si="22"/>
        <v>18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/>
      <c r="AV125" s="30"/>
      <c r="AW125" s="30"/>
      <c r="AX125" s="30"/>
      <c r="AY125" s="30"/>
      <c r="AZ125" s="30"/>
    </row>
    <row r="126" spans="1:52">
      <c r="A126" s="30">
        <v>127</v>
      </c>
      <c r="B126" s="163">
        <v>45625</v>
      </c>
      <c r="C126" s="164" t="s">
        <v>503</v>
      </c>
      <c r="D126" s="164" t="s">
        <v>20</v>
      </c>
      <c r="E126" s="164" t="s">
        <v>152</v>
      </c>
      <c r="F126" s="164"/>
      <c r="G126" s="164" t="s">
        <v>168</v>
      </c>
      <c r="H126" s="164">
        <v>552</v>
      </c>
      <c r="I126" s="164" t="s">
        <v>522</v>
      </c>
      <c r="J126" s="4"/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21">
        <f t="shared" ref="Q126:Q145" si="35">K126+L126</f>
        <v>0</v>
      </c>
      <c r="R126" s="51">
        <f t="shared" si="27"/>
        <v>0</v>
      </c>
      <c r="S126" s="52">
        <f t="shared" si="23"/>
        <v>0</v>
      </c>
      <c r="T126" s="30">
        <v>100</v>
      </c>
      <c r="U126" s="30">
        <v>190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f t="shared" si="29"/>
        <v>190</v>
      </c>
      <c r="AK126" s="54">
        <f t="shared" si="33"/>
        <v>19000</v>
      </c>
      <c r="AL126" s="54">
        <f t="shared" si="34"/>
        <v>19000</v>
      </c>
      <c r="AM126" s="23">
        <f t="shared" si="31"/>
        <v>19000</v>
      </c>
      <c r="AN126" s="30">
        <f t="shared" ref="AN126:AN143" si="36">AD126+T126</f>
        <v>100</v>
      </c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</row>
    <row r="127" spans="1:52">
      <c r="A127" s="30">
        <v>128</v>
      </c>
      <c r="B127" s="163">
        <v>45624</v>
      </c>
      <c r="C127" s="164" t="s">
        <v>221</v>
      </c>
      <c r="D127" s="164" t="s">
        <v>221</v>
      </c>
      <c r="E127" s="164" t="s">
        <v>246</v>
      </c>
      <c r="F127" s="164" t="s">
        <v>209</v>
      </c>
      <c r="G127" s="164" t="s">
        <v>168</v>
      </c>
      <c r="H127" s="164">
        <v>551</v>
      </c>
      <c r="I127" s="134"/>
      <c r="J127" s="4"/>
      <c r="K127" s="71">
        <v>0</v>
      </c>
      <c r="L127" s="71">
        <v>0</v>
      </c>
      <c r="M127" s="71">
        <v>0</v>
      </c>
      <c r="N127" s="71">
        <v>0</v>
      </c>
      <c r="O127" s="71">
        <v>0</v>
      </c>
      <c r="P127" s="71">
        <v>0</v>
      </c>
      <c r="Q127" s="21">
        <f t="shared" si="35"/>
        <v>0</v>
      </c>
      <c r="R127" s="51">
        <f t="shared" si="27"/>
        <v>0</v>
      </c>
      <c r="S127" s="52">
        <f t="shared" si="23"/>
        <v>0</v>
      </c>
      <c r="T127" s="30">
        <v>15</v>
      </c>
      <c r="U127" s="71">
        <v>79.900000000000006</v>
      </c>
      <c r="V127" s="71">
        <v>0</v>
      </c>
      <c r="W127" s="71">
        <v>0</v>
      </c>
      <c r="X127" s="71">
        <v>0</v>
      </c>
      <c r="Y127" s="71">
        <v>0</v>
      </c>
      <c r="Z127" s="71">
        <v>0</v>
      </c>
      <c r="AA127" s="71">
        <v>0</v>
      </c>
      <c r="AB127" s="71">
        <v>0</v>
      </c>
      <c r="AC127" s="71">
        <v>0</v>
      </c>
      <c r="AD127" s="71">
        <v>0</v>
      </c>
      <c r="AE127" s="71">
        <v>0</v>
      </c>
      <c r="AF127" s="71">
        <v>0</v>
      </c>
      <c r="AG127" s="71">
        <v>0</v>
      </c>
      <c r="AH127" s="71">
        <v>0</v>
      </c>
      <c r="AI127" s="71">
        <v>0</v>
      </c>
      <c r="AJ127" s="30">
        <f t="shared" si="29"/>
        <v>79.900000000000006</v>
      </c>
      <c r="AK127" s="54">
        <f t="shared" si="33"/>
        <v>1198.5</v>
      </c>
      <c r="AL127" s="54">
        <f t="shared" si="34"/>
        <v>1198.5</v>
      </c>
      <c r="AM127" s="23">
        <f t="shared" si="31"/>
        <v>1198.5</v>
      </c>
      <c r="AN127" s="30">
        <f t="shared" si="36"/>
        <v>15</v>
      </c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</row>
    <row r="128" spans="1:52">
      <c r="A128" s="30">
        <v>129</v>
      </c>
      <c r="B128" s="133">
        <v>45602</v>
      </c>
      <c r="C128" s="134" t="s">
        <v>499</v>
      </c>
      <c r="D128" s="134" t="s">
        <v>187</v>
      </c>
      <c r="E128" s="134" t="s">
        <v>151</v>
      </c>
      <c r="F128" s="134" t="s">
        <v>209</v>
      </c>
      <c r="G128" s="134" t="s">
        <v>168</v>
      </c>
      <c r="H128" s="134">
        <v>557</v>
      </c>
      <c r="I128" s="134"/>
      <c r="J128" s="4"/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21">
        <f t="shared" si="35"/>
        <v>0</v>
      </c>
      <c r="R128" s="51">
        <f t="shared" si="27"/>
        <v>0</v>
      </c>
      <c r="S128" s="52">
        <f t="shared" si="23"/>
        <v>0</v>
      </c>
      <c r="T128" s="30">
        <v>211</v>
      </c>
      <c r="U128" s="30">
        <f>42.48</f>
        <v>42.48</v>
      </c>
      <c r="V128" s="30">
        <v>0</v>
      </c>
      <c r="W128" s="30"/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30">
        <v>0</v>
      </c>
      <c r="AH128" s="30"/>
      <c r="AI128" s="30">
        <v>0</v>
      </c>
      <c r="AJ128" s="30">
        <f t="shared" si="29"/>
        <v>42.48</v>
      </c>
      <c r="AK128" s="54">
        <f t="shared" si="33"/>
        <v>8963.2799999999988</v>
      </c>
      <c r="AL128" s="54">
        <f t="shared" si="34"/>
        <v>8963.2799999999988</v>
      </c>
      <c r="AM128" s="23">
        <f t="shared" si="31"/>
        <v>8963.2799999999988</v>
      </c>
      <c r="AN128" s="30">
        <f t="shared" si="36"/>
        <v>211</v>
      </c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</row>
    <row r="129" spans="1:52">
      <c r="A129" s="30">
        <v>131</v>
      </c>
      <c r="B129" s="165">
        <v>45631</v>
      </c>
      <c r="C129" s="88" t="s">
        <v>521</v>
      </c>
      <c r="D129" s="88" t="s">
        <v>203</v>
      </c>
      <c r="E129" s="88" t="s">
        <v>151</v>
      </c>
      <c r="F129" s="88" t="s">
        <v>209</v>
      </c>
      <c r="G129" s="88" t="s">
        <v>168</v>
      </c>
      <c r="H129" s="88">
        <v>559</v>
      </c>
      <c r="I129" s="88"/>
      <c r="J129" s="4"/>
      <c r="K129" s="30"/>
      <c r="L129" s="30"/>
      <c r="M129" s="30"/>
      <c r="N129" s="30"/>
      <c r="O129" s="30"/>
      <c r="P129" s="30"/>
      <c r="Q129" s="21">
        <f t="shared" si="35"/>
        <v>0</v>
      </c>
      <c r="R129" s="51">
        <f t="shared" si="27"/>
        <v>0</v>
      </c>
      <c r="S129" s="52">
        <f t="shared" si="23"/>
        <v>0</v>
      </c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>
        <f t="shared" si="29"/>
        <v>0</v>
      </c>
      <c r="AK129" s="54">
        <f t="shared" si="33"/>
        <v>0</v>
      </c>
      <c r="AL129" s="54">
        <f t="shared" si="34"/>
        <v>0</v>
      </c>
      <c r="AM129" s="23">
        <f t="shared" si="31"/>
        <v>0</v>
      </c>
      <c r="AN129" s="30">
        <f t="shared" si="36"/>
        <v>0</v>
      </c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</row>
    <row r="130" spans="1:52">
      <c r="A130" s="30">
        <v>132</v>
      </c>
      <c r="B130" s="133">
        <v>45649</v>
      </c>
      <c r="C130" s="134" t="s">
        <v>506</v>
      </c>
      <c r="D130" s="134"/>
      <c r="E130" s="134"/>
      <c r="F130" s="134"/>
      <c r="G130" s="134"/>
      <c r="H130" s="134">
        <v>601</v>
      </c>
      <c r="I130" s="134"/>
      <c r="J130" s="4"/>
      <c r="K130" s="30"/>
      <c r="L130" s="30"/>
      <c r="M130" s="30"/>
      <c r="N130" s="30"/>
      <c r="O130" s="30"/>
      <c r="P130" s="30"/>
      <c r="Q130" s="21">
        <f t="shared" si="35"/>
        <v>0</v>
      </c>
      <c r="R130" s="51">
        <f t="shared" si="27"/>
        <v>0</v>
      </c>
      <c r="S130" s="52">
        <f t="shared" si="23"/>
        <v>0</v>
      </c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>
        <f t="shared" si="29"/>
        <v>0</v>
      </c>
      <c r="AK130" s="54">
        <f t="shared" si="33"/>
        <v>0</v>
      </c>
      <c r="AL130" s="54">
        <f t="shared" si="34"/>
        <v>0</v>
      </c>
      <c r="AM130" s="23">
        <f t="shared" si="31"/>
        <v>0</v>
      </c>
      <c r="AN130" s="30">
        <f t="shared" si="36"/>
        <v>0</v>
      </c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</row>
    <row r="131" spans="1:52">
      <c r="A131" s="30">
        <v>133</v>
      </c>
      <c r="B131" s="145">
        <v>45458</v>
      </c>
      <c r="C131" s="60" t="s">
        <v>500</v>
      </c>
      <c r="D131" s="60"/>
      <c r="E131" s="60" t="s">
        <v>341</v>
      </c>
      <c r="F131" s="60"/>
      <c r="G131" s="60" t="s">
        <v>168</v>
      </c>
      <c r="H131" s="60">
        <v>436</v>
      </c>
      <c r="I131" s="30"/>
      <c r="J131" s="4"/>
      <c r="K131" s="30"/>
      <c r="L131" s="30"/>
      <c r="M131" s="30"/>
      <c r="N131" s="30"/>
      <c r="O131" s="30"/>
      <c r="P131" s="30"/>
      <c r="Q131" s="21">
        <f t="shared" si="35"/>
        <v>0</v>
      </c>
      <c r="R131" s="51">
        <f t="shared" si="27"/>
        <v>0</v>
      </c>
      <c r="S131" s="52">
        <f t="shared" si="23"/>
        <v>0</v>
      </c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>
        <f t="shared" si="29"/>
        <v>0</v>
      </c>
      <c r="AK131" s="54">
        <f t="shared" si="33"/>
        <v>0</v>
      </c>
      <c r="AL131" s="54">
        <f t="shared" si="34"/>
        <v>0</v>
      </c>
      <c r="AM131" s="23">
        <f t="shared" si="31"/>
        <v>0</v>
      </c>
      <c r="AN131" s="30">
        <f t="shared" si="36"/>
        <v>0</v>
      </c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</row>
    <row r="132" spans="1:52">
      <c r="A132" s="30">
        <v>134</v>
      </c>
      <c r="B132" s="162"/>
      <c r="C132" s="53" t="s">
        <v>518</v>
      </c>
      <c r="D132" s="53"/>
      <c r="E132" s="53" t="s">
        <v>152</v>
      </c>
      <c r="F132" s="53" t="s">
        <v>24</v>
      </c>
      <c r="G132" s="53" t="s">
        <v>168</v>
      </c>
      <c r="H132" s="53">
        <v>461</v>
      </c>
      <c r="I132" s="53" t="s">
        <v>519</v>
      </c>
      <c r="J132" s="4"/>
      <c r="K132" s="30"/>
      <c r="L132" s="30"/>
      <c r="M132" s="30"/>
      <c r="N132" s="30"/>
      <c r="O132" s="30"/>
      <c r="P132" s="30"/>
      <c r="Q132" s="21">
        <f t="shared" si="35"/>
        <v>0</v>
      </c>
      <c r="R132" s="51">
        <f t="shared" si="27"/>
        <v>0</v>
      </c>
      <c r="S132" s="52">
        <f t="shared" si="23"/>
        <v>0</v>
      </c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>
        <f t="shared" si="29"/>
        <v>0</v>
      </c>
      <c r="AK132" s="54">
        <f t="shared" si="33"/>
        <v>0</v>
      </c>
      <c r="AL132" s="54">
        <f t="shared" si="34"/>
        <v>0</v>
      </c>
      <c r="AM132" s="23">
        <f t="shared" si="31"/>
        <v>0</v>
      </c>
      <c r="AN132" s="30">
        <f t="shared" si="36"/>
        <v>0</v>
      </c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</row>
    <row r="133" spans="1:52">
      <c r="A133" s="30">
        <v>135</v>
      </c>
      <c r="B133" s="133">
        <v>45591</v>
      </c>
      <c r="C133" s="134" t="s">
        <v>501</v>
      </c>
      <c r="D133" s="134"/>
      <c r="E133" s="134"/>
      <c r="F133" s="134"/>
      <c r="G133" s="134" t="s">
        <v>168</v>
      </c>
      <c r="H133" s="134">
        <v>525</v>
      </c>
      <c r="I133" s="134"/>
      <c r="J133" s="4"/>
      <c r="K133" s="30">
        <v>27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21">
        <f>K133+L133</f>
        <v>27</v>
      </c>
      <c r="R133" s="51">
        <f t="shared" si="27"/>
        <v>810</v>
      </c>
      <c r="S133" s="52">
        <f t="shared" si="23"/>
        <v>810</v>
      </c>
      <c r="T133" s="30">
        <v>30</v>
      </c>
      <c r="U133" s="30">
        <v>58</v>
      </c>
      <c r="V133" s="30">
        <v>0</v>
      </c>
      <c r="W133" s="30">
        <f>600+300</f>
        <v>900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30">
        <v>0</v>
      </c>
      <c r="AG133" s="30">
        <v>0</v>
      </c>
      <c r="AH133" s="30">
        <v>0</v>
      </c>
      <c r="AI133" s="30">
        <f>50</f>
        <v>50</v>
      </c>
      <c r="AJ133" s="30">
        <f t="shared" si="29"/>
        <v>58</v>
      </c>
      <c r="AK133" s="54">
        <f t="shared" si="33"/>
        <v>1740</v>
      </c>
      <c r="AL133" s="54">
        <f t="shared" si="34"/>
        <v>2690</v>
      </c>
      <c r="AM133" s="23">
        <f t="shared" si="31"/>
        <v>3500</v>
      </c>
      <c r="AN133" s="30">
        <f t="shared" si="36"/>
        <v>30</v>
      </c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</row>
    <row r="134" spans="1:52">
      <c r="A134" s="30">
        <v>136</v>
      </c>
      <c r="B134" s="163">
        <v>45604</v>
      </c>
      <c r="C134" s="164" t="s">
        <v>502</v>
      </c>
      <c r="D134" s="164" t="s">
        <v>196</v>
      </c>
      <c r="E134" s="164" t="s">
        <v>152</v>
      </c>
      <c r="F134" s="164" t="s">
        <v>523</v>
      </c>
      <c r="G134" s="164" t="s">
        <v>168</v>
      </c>
      <c r="H134" s="164">
        <v>537</v>
      </c>
      <c r="I134" s="164"/>
      <c r="J134" s="4"/>
      <c r="K134" s="30"/>
      <c r="L134" s="30"/>
      <c r="M134" s="30"/>
      <c r="N134" s="30"/>
      <c r="O134" s="30"/>
      <c r="P134" s="30"/>
      <c r="Q134" s="21">
        <f t="shared" si="35"/>
        <v>0</v>
      </c>
      <c r="R134" s="51">
        <f t="shared" si="27"/>
        <v>0</v>
      </c>
      <c r="S134" s="52">
        <f t="shared" ref="S134:S145" si="37">R134+P134+O134+N134+M134</f>
        <v>0</v>
      </c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>
        <f t="shared" si="29"/>
        <v>0</v>
      </c>
      <c r="AK134" s="54">
        <f t="shared" si="33"/>
        <v>0</v>
      </c>
      <c r="AL134" s="54">
        <f t="shared" si="34"/>
        <v>0</v>
      </c>
      <c r="AM134" s="23">
        <f t="shared" si="31"/>
        <v>0</v>
      </c>
      <c r="AN134" s="30">
        <f t="shared" si="36"/>
        <v>0</v>
      </c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</row>
    <row r="135" spans="1:52">
      <c r="A135" s="30">
        <v>137</v>
      </c>
      <c r="B135" s="145">
        <v>45633</v>
      </c>
      <c r="C135" s="49" t="s">
        <v>36</v>
      </c>
      <c r="D135" s="49" t="s">
        <v>36</v>
      </c>
      <c r="E135" s="49" t="s">
        <v>151</v>
      </c>
      <c r="F135" s="49" t="s">
        <v>209</v>
      </c>
      <c r="G135" s="49" t="s">
        <v>168</v>
      </c>
      <c r="H135" s="49">
        <v>555</v>
      </c>
      <c r="I135" s="49"/>
      <c r="J135" s="4"/>
      <c r="K135" s="30"/>
      <c r="L135" s="30"/>
      <c r="M135" s="30"/>
      <c r="N135" s="30"/>
      <c r="O135" s="30"/>
      <c r="P135" s="30"/>
      <c r="Q135" s="21">
        <f t="shared" si="35"/>
        <v>0</v>
      </c>
      <c r="R135" s="51">
        <f t="shared" si="27"/>
        <v>0</v>
      </c>
      <c r="S135" s="52">
        <f t="shared" si="37"/>
        <v>0</v>
      </c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>
        <f t="shared" si="29"/>
        <v>0</v>
      </c>
      <c r="AK135" s="54">
        <f t="shared" si="33"/>
        <v>0</v>
      </c>
      <c r="AL135" s="54">
        <f t="shared" si="34"/>
        <v>0</v>
      </c>
      <c r="AM135" s="23">
        <f t="shared" si="31"/>
        <v>0</v>
      </c>
      <c r="AN135" s="30">
        <f t="shared" si="36"/>
        <v>0</v>
      </c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</row>
    <row r="136" spans="1:52">
      <c r="A136" s="167">
        <v>138</v>
      </c>
      <c r="B136" s="145" t="s">
        <v>587</v>
      </c>
      <c r="C136" s="49" t="s">
        <v>504</v>
      </c>
      <c r="D136" s="49" t="s">
        <v>20</v>
      </c>
      <c r="E136" s="49" t="s">
        <v>152</v>
      </c>
      <c r="F136" s="49" t="s">
        <v>209</v>
      </c>
      <c r="G136" s="49" t="s">
        <v>168</v>
      </c>
      <c r="H136" s="49">
        <v>561</v>
      </c>
      <c r="I136" s="30"/>
      <c r="J136" s="4"/>
      <c r="K136" s="30"/>
      <c r="L136" s="30"/>
      <c r="M136" s="30"/>
      <c r="N136" s="30"/>
      <c r="O136" s="30"/>
      <c r="P136" s="30"/>
      <c r="Q136" s="21">
        <f t="shared" si="35"/>
        <v>0</v>
      </c>
      <c r="R136" s="51">
        <f t="shared" si="27"/>
        <v>0</v>
      </c>
      <c r="S136" s="52">
        <f t="shared" si="37"/>
        <v>0</v>
      </c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>
        <f t="shared" si="29"/>
        <v>0</v>
      </c>
      <c r="AK136" s="54">
        <f t="shared" si="33"/>
        <v>0</v>
      </c>
      <c r="AL136" s="54">
        <f t="shared" si="34"/>
        <v>0</v>
      </c>
      <c r="AM136" s="23">
        <f t="shared" si="31"/>
        <v>0</v>
      </c>
      <c r="AN136" s="30">
        <f t="shared" si="36"/>
        <v>0</v>
      </c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</row>
    <row r="137" spans="1:52">
      <c r="A137" s="30">
        <v>139</v>
      </c>
      <c r="B137" s="133">
        <v>45624</v>
      </c>
      <c r="C137" s="134" t="s">
        <v>524</v>
      </c>
      <c r="D137" s="134" t="s">
        <v>192</v>
      </c>
      <c r="E137" s="134" t="s">
        <v>152</v>
      </c>
      <c r="F137" s="134" t="s">
        <v>171</v>
      </c>
      <c r="G137" s="134" t="s">
        <v>168</v>
      </c>
      <c r="H137" s="134">
        <v>562</v>
      </c>
      <c r="I137" s="134"/>
      <c r="J137" s="4"/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21">
        <f t="shared" si="35"/>
        <v>0</v>
      </c>
      <c r="R137" s="51">
        <f t="shared" si="27"/>
        <v>0</v>
      </c>
      <c r="S137" s="52">
        <f t="shared" si="37"/>
        <v>0</v>
      </c>
      <c r="T137" s="30">
        <v>174</v>
      </c>
      <c r="U137" s="30">
        <v>40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30">
        <v>0</v>
      </c>
      <c r="AG137" s="30">
        <v>0</v>
      </c>
      <c r="AH137" s="30">
        <v>0</v>
      </c>
      <c r="AI137" s="30">
        <v>0</v>
      </c>
      <c r="AJ137" s="30">
        <f t="shared" si="29"/>
        <v>40</v>
      </c>
      <c r="AK137" s="54">
        <f t="shared" si="33"/>
        <v>6960</v>
      </c>
      <c r="AL137" s="54">
        <f t="shared" si="34"/>
        <v>6960</v>
      </c>
      <c r="AM137" s="23">
        <f t="shared" si="31"/>
        <v>6960</v>
      </c>
      <c r="AN137" s="30">
        <f t="shared" si="36"/>
        <v>174</v>
      </c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</row>
    <row r="138" spans="1:52">
      <c r="A138" s="30">
        <v>140</v>
      </c>
      <c r="B138" s="145">
        <v>45644</v>
      </c>
      <c r="C138" s="49" t="s">
        <v>505</v>
      </c>
      <c r="D138" s="49" t="s">
        <v>36</v>
      </c>
      <c r="E138" s="49" t="s">
        <v>151</v>
      </c>
      <c r="F138" s="49"/>
      <c r="G138" s="49" t="s">
        <v>168</v>
      </c>
      <c r="H138" s="49">
        <v>565</v>
      </c>
      <c r="I138" s="49"/>
      <c r="J138" s="4"/>
      <c r="K138" s="30"/>
      <c r="L138" s="30"/>
      <c r="M138" s="30"/>
      <c r="N138" s="30"/>
      <c r="O138" s="30"/>
      <c r="P138" s="30"/>
      <c r="Q138" s="21">
        <f t="shared" si="35"/>
        <v>0</v>
      </c>
      <c r="R138" s="51">
        <f t="shared" si="27"/>
        <v>0</v>
      </c>
      <c r="S138" s="52">
        <f t="shared" si="37"/>
        <v>0</v>
      </c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>
        <f t="shared" si="29"/>
        <v>0</v>
      </c>
      <c r="AK138" s="54">
        <f t="shared" si="33"/>
        <v>0</v>
      </c>
      <c r="AL138" s="54">
        <f t="shared" si="34"/>
        <v>0</v>
      </c>
      <c r="AM138" s="23">
        <f t="shared" si="31"/>
        <v>0</v>
      </c>
      <c r="AN138" s="30">
        <f t="shared" si="36"/>
        <v>0</v>
      </c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</row>
    <row r="139" spans="1:52">
      <c r="A139" s="30">
        <v>142</v>
      </c>
      <c r="B139" s="133">
        <v>45325</v>
      </c>
      <c r="C139" s="134" t="s">
        <v>510</v>
      </c>
      <c r="D139" s="134" t="s">
        <v>20</v>
      </c>
      <c r="E139" s="134" t="s">
        <v>151</v>
      </c>
      <c r="F139" s="134" t="s">
        <v>24</v>
      </c>
      <c r="G139" s="134" t="s">
        <v>168</v>
      </c>
      <c r="H139" s="134">
        <v>2</v>
      </c>
      <c r="I139" s="134" t="s">
        <v>511</v>
      </c>
      <c r="J139" s="4"/>
      <c r="K139" s="30">
        <v>45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21">
        <f>K139+L139</f>
        <v>45</v>
      </c>
      <c r="R139" s="51">
        <f t="shared" si="27"/>
        <v>9495</v>
      </c>
      <c r="S139" s="52">
        <f t="shared" si="37"/>
        <v>9495</v>
      </c>
      <c r="T139" s="30">
        <v>211</v>
      </c>
      <c r="U139" s="30">
        <v>60</v>
      </c>
      <c r="V139" s="30">
        <v>0</v>
      </c>
      <c r="W139" s="30">
        <f>2000+1000+750+400+500</f>
        <v>4650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30">
        <v>0</v>
      </c>
      <c r="AG139" s="30">
        <v>2778.24</v>
      </c>
      <c r="AH139" s="30">
        <v>0</v>
      </c>
      <c r="AI139" s="30">
        <v>0</v>
      </c>
      <c r="AJ139" s="30">
        <f t="shared" si="29"/>
        <v>60</v>
      </c>
      <c r="AK139" s="54">
        <f t="shared" si="33"/>
        <v>12660</v>
      </c>
      <c r="AL139" s="54">
        <f t="shared" si="34"/>
        <v>20088.239999999998</v>
      </c>
      <c r="AM139" s="23">
        <f t="shared" si="31"/>
        <v>29583.239999999998</v>
      </c>
      <c r="AN139" s="30">
        <f t="shared" si="36"/>
        <v>211</v>
      </c>
      <c r="AO139" s="71">
        <f>AM139*10%</f>
        <v>2958.3240000000001</v>
      </c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</row>
    <row r="140" spans="1:52">
      <c r="A140" s="30">
        <v>143</v>
      </c>
      <c r="B140" s="134" t="s">
        <v>513</v>
      </c>
      <c r="C140" s="134" t="s">
        <v>14</v>
      </c>
      <c r="D140" s="134" t="s">
        <v>14</v>
      </c>
      <c r="E140" s="134" t="s">
        <v>151</v>
      </c>
      <c r="F140" s="134" t="s">
        <v>209</v>
      </c>
      <c r="G140" s="134" t="s">
        <v>168</v>
      </c>
      <c r="H140" s="134">
        <v>563</v>
      </c>
      <c r="I140" s="134" t="s">
        <v>514</v>
      </c>
      <c r="J140" s="4"/>
      <c r="K140" s="30">
        <v>20</v>
      </c>
      <c r="L140" s="30">
        <v>30</v>
      </c>
      <c r="M140" s="30"/>
      <c r="N140" s="30"/>
      <c r="O140" s="30"/>
      <c r="P140" s="30"/>
      <c r="Q140" s="21">
        <f>K140+L140</f>
        <v>50</v>
      </c>
      <c r="R140" s="51">
        <f t="shared" si="27"/>
        <v>95000</v>
      </c>
      <c r="S140" s="52">
        <f t="shared" si="37"/>
        <v>95000</v>
      </c>
      <c r="T140" s="30">
        <v>1900</v>
      </c>
      <c r="U140" s="30">
        <v>81</v>
      </c>
      <c r="V140" s="30"/>
      <c r="W140" s="30">
        <f>36600+12000</f>
        <v>48600</v>
      </c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>
        <v>4454.0200000000004</v>
      </c>
      <c r="AJ140" s="30">
        <f t="shared" si="29"/>
        <v>81</v>
      </c>
      <c r="AK140" s="54">
        <f t="shared" si="33"/>
        <v>153900</v>
      </c>
      <c r="AL140" s="54">
        <f t="shared" si="34"/>
        <v>206954.02</v>
      </c>
      <c r="AM140" s="23">
        <f t="shared" si="31"/>
        <v>301954.02</v>
      </c>
      <c r="AN140" s="30">
        <f t="shared" si="36"/>
        <v>1900</v>
      </c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</row>
    <row r="141" spans="1:52">
      <c r="A141" s="30">
        <v>144</v>
      </c>
      <c r="B141" s="133">
        <v>45628</v>
      </c>
      <c r="C141" s="134" t="s">
        <v>515</v>
      </c>
      <c r="D141" s="134" t="s">
        <v>36</v>
      </c>
      <c r="E141" s="134" t="s">
        <v>151</v>
      </c>
      <c r="F141" s="134" t="s">
        <v>167</v>
      </c>
      <c r="G141" s="134" t="s">
        <v>168</v>
      </c>
      <c r="H141" s="134">
        <v>558</v>
      </c>
      <c r="I141" s="134" t="s">
        <v>36</v>
      </c>
      <c r="J141" s="4"/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21">
        <f t="shared" si="35"/>
        <v>0</v>
      </c>
      <c r="R141" s="51">
        <f t="shared" si="27"/>
        <v>0</v>
      </c>
      <c r="S141" s="52">
        <f t="shared" si="37"/>
        <v>0</v>
      </c>
      <c r="T141" s="30">
        <v>80</v>
      </c>
      <c r="U141" s="30">
        <v>68</v>
      </c>
      <c r="V141" s="30">
        <v>0</v>
      </c>
      <c r="W141" s="30">
        <v>146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30">
        <v>0</v>
      </c>
      <c r="AG141" s="30">
        <v>0</v>
      </c>
      <c r="AH141" s="30">
        <v>0</v>
      </c>
      <c r="AI141" s="30">
        <v>0</v>
      </c>
      <c r="AJ141" s="30">
        <f t="shared" si="29"/>
        <v>68</v>
      </c>
      <c r="AK141" s="54">
        <f t="shared" si="33"/>
        <v>5440</v>
      </c>
      <c r="AL141" s="54">
        <f t="shared" si="34"/>
        <v>5586</v>
      </c>
      <c r="AM141" s="23">
        <f t="shared" si="31"/>
        <v>5586</v>
      </c>
      <c r="AN141" s="30">
        <f t="shared" si="36"/>
        <v>80</v>
      </c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</row>
    <row r="142" spans="1:52">
      <c r="A142" s="30">
        <v>145</v>
      </c>
      <c r="B142" s="133">
        <v>45346</v>
      </c>
      <c r="C142" s="134" t="s">
        <v>516</v>
      </c>
      <c r="D142" s="134" t="s">
        <v>196</v>
      </c>
      <c r="E142" s="134" t="s">
        <v>152</v>
      </c>
      <c r="F142" s="134" t="s">
        <v>24</v>
      </c>
      <c r="G142" s="134" t="s">
        <v>168</v>
      </c>
      <c r="H142" s="134">
        <v>369</v>
      </c>
      <c r="I142" s="134" t="s">
        <v>517</v>
      </c>
      <c r="J142" s="4"/>
      <c r="K142" s="30">
        <v>25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21">
        <f>K142+L142</f>
        <v>25</v>
      </c>
      <c r="R142" s="51">
        <f t="shared" si="27"/>
        <v>19000</v>
      </c>
      <c r="S142" s="52">
        <f t="shared" si="37"/>
        <v>19000</v>
      </c>
      <c r="T142" s="30">
        <v>760</v>
      </c>
      <c r="U142" s="30">
        <v>70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30">
        <v>0</v>
      </c>
      <c r="AG142" s="30">
        <v>0</v>
      </c>
      <c r="AH142" s="30">
        <v>0</v>
      </c>
      <c r="AI142" s="30">
        <v>0</v>
      </c>
      <c r="AJ142" s="30">
        <f t="shared" si="29"/>
        <v>70</v>
      </c>
      <c r="AK142" s="54">
        <f t="shared" si="33"/>
        <v>53200</v>
      </c>
      <c r="AL142" s="54">
        <f t="shared" si="34"/>
        <v>53200</v>
      </c>
      <c r="AM142" s="23">
        <f t="shared" si="31"/>
        <v>72200</v>
      </c>
      <c r="AN142" s="30">
        <f t="shared" si="36"/>
        <v>760</v>
      </c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</row>
    <row r="143" spans="1:52">
      <c r="A143" s="30">
        <v>146</v>
      </c>
      <c r="B143" s="163">
        <v>45739</v>
      </c>
      <c r="C143" s="164" t="s">
        <v>520</v>
      </c>
      <c r="D143" s="164" t="s">
        <v>196</v>
      </c>
      <c r="E143" s="164" t="s">
        <v>152</v>
      </c>
      <c r="F143" s="164" t="s">
        <v>24</v>
      </c>
      <c r="G143" s="164" t="s">
        <v>168</v>
      </c>
      <c r="H143" s="164">
        <v>396</v>
      </c>
      <c r="I143" s="164"/>
      <c r="J143" s="4"/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21">
        <f t="shared" si="35"/>
        <v>0</v>
      </c>
      <c r="R143" s="51">
        <f t="shared" si="27"/>
        <v>0</v>
      </c>
      <c r="S143" s="52">
        <f t="shared" si="37"/>
        <v>0</v>
      </c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>
        <f t="shared" si="29"/>
        <v>0</v>
      </c>
      <c r="AK143" s="54">
        <f t="shared" si="33"/>
        <v>0</v>
      </c>
      <c r="AL143" s="54">
        <f t="shared" si="34"/>
        <v>0</v>
      </c>
      <c r="AM143" s="23">
        <f t="shared" si="31"/>
        <v>0</v>
      </c>
      <c r="AN143" s="30">
        <f t="shared" si="36"/>
        <v>0</v>
      </c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</row>
    <row r="144" spans="1:52">
      <c r="A144" s="30">
        <v>147</v>
      </c>
      <c r="B144" s="166"/>
      <c r="C144" s="53"/>
      <c r="D144" s="53"/>
      <c r="E144" s="53"/>
      <c r="F144" s="53"/>
      <c r="G144" s="53"/>
      <c r="H144" s="53"/>
      <c r="I144" s="53"/>
      <c r="J144" s="4"/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21">
        <f t="shared" si="35"/>
        <v>0</v>
      </c>
      <c r="R144" s="51">
        <f t="shared" si="27"/>
        <v>0</v>
      </c>
      <c r="S144" s="52">
        <f t="shared" si="37"/>
        <v>0</v>
      </c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>
        <f t="shared" si="29"/>
        <v>0</v>
      </c>
      <c r="AK144" s="54">
        <f t="shared" si="33"/>
        <v>0</v>
      </c>
      <c r="AL144" s="30"/>
      <c r="AM144" s="23">
        <f t="shared" si="31"/>
        <v>0</v>
      </c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</row>
    <row r="145" spans="1:52">
      <c r="A145" s="30"/>
      <c r="B145" s="30"/>
      <c r="C145" s="30"/>
      <c r="D145" s="30"/>
      <c r="E145" s="30"/>
      <c r="F145" s="30"/>
      <c r="G145" s="30"/>
      <c r="H145" s="30"/>
      <c r="I145" s="30"/>
      <c r="J145" s="4"/>
      <c r="K145" s="30"/>
      <c r="L145" s="30"/>
      <c r="M145" s="30"/>
      <c r="N145" s="30"/>
      <c r="O145" s="30"/>
      <c r="P145" s="30"/>
      <c r="Q145" s="21">
        <f t="shared" si="35"/>
        <v>0</v>
      </c>
      <c r="R145" s="51">
        <f t="shared" si="27"/>
        <v>0</v>
      </c>
      <c r="S145" s="52">
        <f t="shared" si="37"/>
        <v>0</v>
      </c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>
        <f t="shared" si="29"/>
        <v>0</v>
      </c>
      <c r="AK145" s="54">
        <f t="shared" si="33"/>
        <v>0</v>
      </c>
      <c r="AL145" s="30"/>
      <c r="AM145" s="23">
        <f t="shared" si="31"/>
        <v>0</v>
      </c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</row>
    <row r="146" spans="1:52">
      <c r="A146" s="30"/>
      <c r="B146" s="30"/>
      <c r="C146" s="30"/>
      <c r="D146" s="30"/>
      <c r="E146" s="30"/>
      <c r="F146" s="30"/>
      <c r="G146" s="30"/>
      <c r="H146" s="30"/>
      <c r="I146" s="30"/>
      <c r="J146" s="4"/>
      <c r="K146" s="30"/>
      <c r="L146" s="30"/>
      <c r="M146" s="30"/>
      <c r="N146" s="30"/>
      <c r="O146" s="30"/>
      <c r="P146" s="30"/>
      <c r="Q146" s="30"/>
      <c r="R146" s="51">
        <f t="shared" si="27"/>
        <v>0</v>
      </c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>
        <f t="shared" si="29"/>
        <v>0</v>
      </c>
      <c r="AK146" s="54">
        <f t="shared" si="33"/>
        <v>0</v>
      </c>
      <c r="AL146" s="30"/>
      <c r="AM146" s="23">
        <f t="shared" si="31"/>
        <v>0</v>
      </c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</row>
    <row r="147" spans="1:52">
      <c r="A147" s="30"/>
      <c r="B147" s="30"/>
      <c r="C147" s="30"/>
      <c r="D147" s="30"/>
      <c r="E147" s="30"/>
      <c r="F147" s="30"/>
      <c r="G147" s="30"/>
      <c r="H147" s="30"/>
      <c r="I147" s="30"/>
      <c r="J147" s="4"/>
      <c r="K147" s="30"/>
      <c r="L147" s="30"/>
      <c r="M147" s="30"/>
      <c r="N147" s="30"/>
      <c r="O147" s="30"/>
      <c r="P147" s="30"/>
      <c r="Q147" s="30"/>
      <c r="R147" s="51">
        <f t="shared" si="27"/>
        <v>0</v>
      </c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>
        <f t="shared" si="29"/>
        <v>0</v>
      </c>
      <c r="AK147" s="54">
        <f t="shared" si="33"/>
        <v>0</v>
      </c>
      <c r="AL147" s="30"/>
      <c r="AM147" s="23">
        <f t="shared" si="31"/>
        <v>0</v>
      </c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</row>
    <row r="148" spans="1:52">
      <c r="A148" s="30"/>
      <c r="B148" s="30"/>
      <c r="C148" s="30"/>
      <c r="D148" s="30"/>
      <c r="E148" s="30"/>
      <c r="F148" s="30"/>
      <c r="G148" s="30"/>
      <c r="H148" s="30"/>
      <c r="I148" s="30"/>
      <c r="J148" s="4"/>
      <c r="K148" s="30"/>
      <c r="L148" s="30"/>
      <c r="M148" s="30"/>
      <c r="N148" s="30"/>
      <c r="O148" s="30"/>
      <c r="P148" s="30"/>
      <c r="Q148" s="30"/>
      <c r="R148" s="51">
        <f t="shared" si="27"/>
        <v>0</v>
      </c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>
        <f t="shared" si="29"/>
        <v>0</v>
      </c>
      <c r="AK148" s="54">
        <f t="shared" si="33"/>
        <v>0</v>
      </c>
      <c r="AL148" s="30"/>
      <c r="AM148" s="23">
        <f t="shared" si="31"/>
        <v>0</v>
      </c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</row>
    <row r="149" spans="1:52">
      <c r="A149" s="30"/>
      <c r="B149" s="30"/>
      <c r="C149" s="30"/>
      <c r="D149" s="30"/>
      <c r="E149" s="30"/>
      <c r="F149" s="30"/>
      <c r="G149" s="30"/>
      <c r="H149" s="30"/>
      <c r="I149" s="30"/>
      <c r="J149" s="4"/>
      <c r="K149" s="30"/>
      <c r="L149" s="30"/>
      <c r="M149" s="30"/>
      <c r="N149" s="30"/>
      <c r="O149" s="30"/>
      <c r="P149" s="30"/>
      <c r="Q149" s="30"/>
      <c r="R149" s="51">
        <f t="shared" si="27"/>
        <v>0</v>
      </c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23">
        <f t="shared" si="31"/>
        <v>0</v>
      </c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</row>
    <row r="150" spans="1:52">
      <c r="A150" s="30"/>
      <c r="B150" s="30"/>
      <c r="C150" s="30"/>
      <c r="D150" s="30"/>
      <c r="E150" s="30"/>
      <c r="F150" s="30"/>
      <c r="G150" s="30"/>
      <c r="H150" s="30"/>
      <c r="I150" s="30"/>
      <c r="J150" s="4"/>
      <c r="K150" s="30"/>
      <c r="L150" s="30"/>
      <c r="M150" s="30"/>
      <c r="N150" s="30"/>
      <c r="O150" s="30"/>
      <c r="P150" s="30"/>
      <c r="Q150" s="30"/>
      <c r="R150" s="51">
        <f t="shared" si="27"/>
        <v>0</v>
      </c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23">
        <f t="shared" si="31"/>
        <v>0</v>
      </c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</row>
    <row r="151" spans="1:52">
      <c r="A151" s="30"/>
      <c r="B151" s="30"/>
      <c r="C151" s="30"/>
      <c r="D151" s="30"/>
      <c r="E151" s="30"/>
      <c r="F151" s="30"/>
      <c r="G151" s="30"/>
      <c r="H151" s="30"/>
      <c r="I151" s="30"/>
      <c r="J151" s="4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</row>
    <row r="152" spans="1:52">
      <c r="A152" s="30"/>
      <c r="B152" s="30"/>
      <c r="C152" s="30"/>
      <c r="D152" s="30"/>
      <c r="E152" s="30"/>
      <c r="F152" s="30"/>
      <c r="G152" s="30"/>
      <c r="H152" s="30"/>
      <c r="I152" s="30"/>
      <c r="J152" s="4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</row>
    <row r="153" spans="1:52">
      <c r="A153" s="30"/>
      <c r="B153" s="30"/>
      <c r="C153" s="30"/>
      <c r="D153" s="30"/>
      <c r="E153" s="30"/>
      <c r="F153" s="30"/>
      <c r="G153" s="30"/>
      <c r="H153" s="30"/>
      <c r="I153" s="30"/>
      <c r="J153" s="4"/>
      <c r="K153" s="30"/>
      <c r="L153" s="71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</row>
    <row r="154" spans="1:52">
      <c r="A154" s="30"/>
      <c r="B154" s="30"/>
      <c r="C154" s="30"/>
      <c r="D154" s="30"/>
      <c r="E154" s="30"/>
      <c r="F154" s="30"/>
      <c r="G154" s="30"/>
      <c r="H154" s="30"/>
      <c r="I154" s="30"/>
      <c r="J154" s="4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</row>
    <row r="155" spans="1:52">
      <c r="A155" s="30"/>
      <c r="B155" s="30"/>
      <c r="C155" s="30"/>
      <c r="D155" s="30"/>
      <c r="E155" s="30"/>
      <c r="F155" s="30"/>
      <c r="G155" s="30"/>
      <c r="H155" s="30"/>
      <c r="I155" s="30"/>
      <c r="J155" s="4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</row>
    <row r="156" spans="1:52">
      <c r="A156" s="30"/>
      <c r="B156" s="30"/>
      <c r="C156" s="30"/>
      <c r="D156" s="30"/>
      <c r="E156" s="30"/>
      <c r="F156" s="30"/>
      <c r="G156" s="30"/>
      <c r="H156" s="30"/>
      <c r="I156" s="30"/>
      <c r="J156" s="4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</row>
    <row r="157" spans="1:52">
      <c r="A157" s="30"/>
      <c r="B157" s="30"/>
      <c r="C157" s="30"/>
      <c r="D157" s="30"/>
      <c r="E157" s="30"/>
      <c r="F157" s="30"/>
      <c r="G157" s="30"/>
      <c r="H157" s="30"/>
      <c r="I157" s="30"/>
      <c r="J157" s="4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</row>
    <row r="158" spans="1:52">
      <c r="A158" s="30"/>
      <c r="B158" s="30"/>
      <c r="C158" s="30"/>
      <c r="D158" s="30"/>
      <c r="E158" s="30"/>
      <c r="F158" s="30"/>
      <c r="G158" s="30"/>
      <c r="H158" s="30"/>
      <c r="I158" s="30"/>
      <c r="J158" s="4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</row>
    <row r="159" spans="1:52">
      <c r="A159" s="30"/>
      <c r="B159" s="30"/>
      <c r="C159" s="30"/>
      <c r="D159" s="30"/>
      <c r="E159" s="30"/>
      <c r="F159" s="30"/>
      <c r="G159" s="30"/>
      <c r="H159" s="30"/>
      <c r="I159" s="30"/>
      <c r="J159" s="4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</row>
    <row r="160" spans="1:52">
      <c r="A160" s="30"/>
      <c r="B160" s="30"/>
      <c r="C160" s="30"/>
      <c r="D160" s="30"/>
      <c r="E160" s="30"/>
      <c r="F160" s="30"/>
      <c r="G160" s="30"/>
      <c r="H160" s="30"/>
      <c r="I160" s="30"/>
      <c r="J160" s="4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</row>
    <row r="161" spans="1:52">
      <c r="A161" s="30"/>
      <c r="B161" s="30"/>
      <c r="C161" s="30"/>
      <c r="D161" s="30"/>
      <c r="E161" s="30"/>
      <c r="F161" s="30"/>
      <c r="G161" s="30"/>
      <c r="H161" s="30"/>
      <c r="I161" s="30"/>
      <c r="J161" s="4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</row>
    <row r="162" spans="1:52">
      <c r="A162" s="30"/>
      <c r="B162" s="30"/>
      <c r="C162" s="30"/>
      <c r="D162" s="30"/>
      <c r="E162" s="30"/>
      <c r="F162" s="30"/>
      <c r="G162" s="30"/>
      <c r="H162" s="30"/>
      <c r="I162" s="30"/>
      <c r="J162" s="4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</row>
    <row r="163" spans="1:52">
      <c r="A163" s="30"/>
      <c r="B163" s="30"/>
      <c r="C163" s="30"/>
      <c r="D163" s="30"/>
      <c r="E163" s="30"/>
      <c r="F163" s="30"/>
      <c r="G163" s="30"/>
      <c r="H163" s="30"/>
      <c r="I163" s="30"/>
      <c r="J163" s="4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>
        <f>297500-341954.02</f>
        <v>-44454.020000000019</v>
      </c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</row>
    <row r="164" spans="1:52">
      <c r="A164" s="30"/>
      <c r="B164" s="30"/>
      <c r="C164" s="30"/>
      <c r="D164" s="30"/>
      <c r="E164" s="30"/>
      <c r="F164" s="30"/>
      <c r="G164" s="30"/>
      <c r="H164" s="30"/>
      <c r="I164" s="30"/>
      <c r="J164" s="4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</row>
    <row r="165" spans="1:52">
      <c r="A165" s="30"/>
      <c r="B165" s="30"/>
      <c r="C165" s="30"/>
      <c r="D165" s="30"/>
      <c r="E165" s="30"/>
      <c r="F165" s="30"/>
      <c r="G165" s="30"/>
      <c r="H165" s="30"/>
      <c r="I165" s="30"/>
      <c r="J165" s="4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</row>
    <row r="166" spans="1:52">
      <c r="A166" s="30"/>
      <c r="B166" s="30"/>
      <c r="C166" s="30"/>
      <c r="D166" s="30"/>
      <c r="E166" s="30"/>
      <c r="F166" s="30"/>
      <c r="G166" s="30"/>
      <c r="H166" s="30"/>
      <c r="I166" s="30"/>
      <c r="J166" s="4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</row>
    <row r="167" spans="1:52">
      <c r="A167" s="30"/>
      <c r="B167" s="30"/>
      <c r="C167" s="30"/>
      <c r="D167" s="30"/>
      <c r="E167" s="30"/>
      <c r="F167" s="30"/>
      <c r="G167" s="30"/>
      <c r="H167" s="30"/>
      <c r="I167" s="30"/>
      <c r="J167" s="4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</row>
    <row r="168" spans="1:52">
      <c r="A168" s="30"/>
      <c r="B168" s="30"/>
      <c r="C168" s="30"/>
      <c r="D168" s="30"/>
      <c r="E168" s="30"/>
      <c r="F168" s="30"/>
      <c r="G168" s="30"/>
      <c r="H168" s="30"/>
      <c r="I168" s="30"/>
      <c r="J168" s="4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</row>
    <row r="169" spans="1:52">
      <c r="A169" s="30"/>
      <c r="B169" s="30"/>
      <c r="C169" s="30"/>
      <c r="D169" s="30"/>
      <c r="E169" s="30"/>
      <c r="F169" s="30"/>
      <c r="G169" s="30"/>
      <c r="H169" s="30"/>
      <c r="I169" s="30"/>
      <c r="J169" s="4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</row>
    <row r="170" spans="1:52">
      <c r="A170" s="30"/>
      <c r="B170" s="30"/>
      <c r="C170" s="30"/>
      <c r="D170" s="30"/>
      <c r="E170" s="30"/>
      <c r="F170" s="30"/>
      <c r="G170" s="30"/>
      <c r="H170" s="30"/>
      <c r="I170" s="30"/>
      <c r="J170" s="4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</row>
    <row r="171" spans="1:52">
      <c r="A171" s="30"/>
      <c r="B171" s="30"/>
      <c r="C171" s="30"/>
      <c r="D171" s="30"/>
      <c r="E171" s="30"/>
      <c r="F171" s="30"/>
      <c r="G171" s="30"/>
      <c r="H171" s="30"/>
      <c r="I171" s="30"/>
      <c r="J171" s="4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</row>
    <row r="172" spans="1:52">
      <c r="A172" s="30"/>
      <c r="B172" s="30"/>
      <c r="C172" s="30"/>
      <c r="D172" s="30"/>
      <c r="E172" s="30"/>
      <c r="F172" s="30"/>
      <c r="G172" s="30"/>
      <c r="H172" s="30"/>
      <c r="I172" s="30"/>
      <c r="J172" s="4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</row>
    <row r="173" spans="1:52">
      <c r="A173" s="30"/>
      <c r="B173" s="30"/>
      <c r="C173" s="30"/>
      <c r="D173" s="30"/>
      <c r="E173" s="30"/>
      <c r="F173" s="30"/>
      <c r="G173" s="30"/>
      <c r="H173" s="30"/>
      <c r="I173" s="30"/>
      <c r="J173" s="4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</row>
    <row r="174" spans="1:52">
      <c r="A174" s="30"/>
      <c r="B174" s="30"/>
      <c r="C174" s="30"/>
      <c r="D174" s="30"/>
      <c r="E174" s="30"/>
      <c r="F174" s="30"/>
      <c r="G174" s="30"/>
      <c r="H174" s="30"/>
      <c r="I174" s="30"/>
      <c r="J174" s="4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</row>
    <row r="175" spans="1:52">
      <c r="A175" s="30"/>
      <c r="B175" s="30"/>
      <c r="C175" s="30"/>
      <c r="D175" s="30"/>
      <c r="E175" s="30"/>
      <c r="F175" s="30"/>
      <c r="G175" s="30"/>
      <c r="H175" s="30"/>
      <c r="I175" s="30"/>
      <c r="J175" s="4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</row>
    <row r="176" spans="1:52">
      <c r="A176" s="30"/>
      <c r="B176" s="30"/>
      <c r="C176" s="30"/>
      <c r="D176" s="30"/>
      <c r="E176" s="30"/>
      <c r="F176" s="30"/>
      <c r="G176" s="30"/>
      <c r="H176" s="30"/>
      <c r="I176" s="30"/>
      <c r="J176" s="4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</row>
    <row r="177" spans="1:52">
      <c r="A177" s="30"/>
      <c r="B177" s="30"/>
      <c r="C177" s="30"/>
      <c r="D177" s="30"/>
      <c r="E177" s="30"/>
      <c r="F177" s="30"/>
      <c r="G177" s="30"/>
      <c r="H177" s="30"/>
      <c r="I177" s="30"/>
      <c r="J177" s="4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</row>
    <row r="178" spans="1:52">
      <c r="A178" s="30"/>
      <c r="B178" s="30"/>
      <c r="C178" s="30"/>
      <c r="D178" s="30"/>
      <c r="E178" s="30"/>
      <c r="F178" s="30"/>
      <c r="G178" s="30"/>
      <c r="H178" s="30"/>
      <c r="I178" s="30"/>
      <c r="J178" s="4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</row>
    <row r="179" spans="1:52">
      <c r="A179" s="30"/>
      <c r="B179" s="30"/>
      <c r="C179" s="30"/>
      <c r="D179" s="30"/>
      <c r="E179" s="30"/>
      <c r="F179" s="30"/>
      <c r="G179" s="30"/>
      <c r="H179" s="30"/>
      <c r="I179" s="30"/>
      <c r="J179" s="4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</row>
    <row r="180" spans="1:52">
      <c r="A180" s="30"/>
      <c r="B180" s="30"/>
      <c r="C180" s="30"/>
      <c r="D180" s="30"/>
      <c r="E180" s="30"/>
      <c r="F180" s="30"/>
      <c r="G180" s="30"/>
      <c r="H180" s="30"/>
      <c r="I180" s="30"/>
      <c r="J180" s="4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</row>
    <row r="181" spans="1:52">
      <c r="A181" s="30"/>
      <c r="B181" s="30"/>
      <c r="C181" s="30"/>
      <c r="D181" s="30"/>
      <c r="E181" s="30"/>
      <c r="F181" s="30"/>
      <c r="G181" s="30"/>
      <c r="H181" s="30"/>
      <c r="I181" s="30"/>
      <c r="J181" s="4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</row>
    <row r="182" spans="1:52">
      <c r="A182" s="30"/>
      <c r="B182" s="30"/>
      <c r="C182" s="30"/>
      <c r="D182" s="30"/>
      <c r="E182" s="30"/>
      <c r="F182" s="30"/>
      <c r="G182" s="30"/>
      <c r="H182" s="30"/>
      <c r="I182" s="30"/>
      <c r="J182" s="4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</row>
    <row r="183" spans="1:52">
      <c r="A183" s="30"/>
      <c r="B183" s="30"/>
      <c r="C183" s="30"/>
      <c r="D183" s="30"/>
      <c r="E183" s="30"/>
      <c r="F183" s="30"/>
      <c r="G183" s="30"/>
      <c r="H183" s="30"/>
      <c r="I183" s="30"/>
      <c r="J183" s="4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</row>
    <row r="184" spans="1:52">
      <c r="A184" s="30"/>
      <c r="B184" s="30"/>
      <c r="C184" s="30"/>
      <c r="D184" s="30"/>
      <c r="E184" s="30"/>
      <c r="F184" s="30"/>
      <c r="G184" s="30"/>
      <c r="H184" s="30"/>
      <c r="I184" s="30"/>
      <c r="J184" s="4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</row>
    <row r="185" spans="1:52">
      <c r="A185" s="30"/>
      <c r="B185" s="30"/>
      <c r="C185" s="30"/>
      <c r="D185" s="30"/>
      <c r="E185" s="30"/>
      <c r="F185" s="30"/>
      <c r="G185" s="30"/>
      <c r="H185" s="30"/>
      <c r="I185" s="30"/>
      <c r="J185" s="4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</row>
    <row r="186" spans="1:52">
      <c r="A186" s="30"/>
      <c r="B186" s="30"/>
      <c r="C186" s="30"/>
      <c r="D186" s="30"/>
      <c r="E186" s="30"/>
      <c r="F186" s="30"/>
      <c r="G186" s="30"/>
      <c r="H186" s="30"/>
      <c r="I186" s="30"/>
      <c r="J186" s="4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</row>
    <row r="187" spans="1:52">
      <c r="A187" s="30"/>
      <c r="B187" s="30"/>
      <c r="C187" s="30"/>
      <c r="D187" s="30"/>
      <c r="E187" s="30"/>
      <c r="F187" s="30"/>
      <c r="G187" s="30"/>
      <c r="H187" s="30"/>
      <c r="I187" s="30"/>
      <c r="J187" s="4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</row>
    <row r="188" spans="1:52">
      <c r="A188" s="30"/>
      <c r="B188" s="30"/>
      <c r="C188" s="30"/>
      <c r="D188" s="30"/>
      <c r="E188" s="30"/>
      <c r="F188" s="30"/>
      <c r="G188" s="30"/>
      <c r="H188" s="30"/>
      <c r="I188" s="30"/>
      <c r="J188" s="4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</row>
    <row r="189" spans="1:52">
      <c r="A189" s="30"/>
      <c r="B189" s="30"/>
      <c r="C189" s="30"/>
      <c r="D189" s="30"/>
      <c r="E189" s="30"/>
      <c r="F189" s="30"/>
      <c r="G189" s="30"/>
      <c r="H189" s="30"/>
      <c r="I189" s="30"/>
      <c r="J189" s="4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</row>
    <row r="190" spans="1:52">
      <c r="A190" s="30"/>
      <c r="B190" s="30"/>
      <c r="C190" s="30"/>
      <c r="D190" s="30"/>
      <c r="E190" s="30"/>
      <c r="F190" s="30"/>
      <c r="G190" s="30"/>
      <c r="H190" s="30"/>
      <c r="I190" s="30"/>
      <c r="J190" s="4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</row>
    <row r="191" spans="1:52">
      <c r="A191" s="30"/>
      <c r="B191" s="30"/>
      <c r="C191" s="30"/>
      <c r="D191" s="30"/>
      <c r="E191" s="30"/>
      <c r="F191" s="30"/>
      <c r="G191" s="30"/>
      <c r="H191" s="30"/>
      <c r="I191" s="30"/>
      <c r="J191" s="4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</row>
    <row r="192" spans="1:52">
      <c r="A192" s="30"/>
      <c r="B192" s="30"/>
      <c r="C192" s="30"/>
      <c r="D192" s="30"/>
      <c r="E192" s="30"/>
      <c r="F192" s="30"/>
      <c r="G192" s="30"/>
      <c r="H192" s="30"/>
      <c r="I192" s="30"/>
      <c r="J192" s="4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</row>
    <row r="193" spans="1:52">
      <c r="A193" s="30"/>
      <c r="B193" s="30"/>
      <c r="C193" s="30"/>
      <c r="D193" s="30"/>
      <c r="E193" s="30"/>
      <c r="F193" s="30"/>
      <c r="G193" s="30"/>
      <c r="H193" s="30"/>
      <c r="I193" s="30"/>
      <c r="J193" s="4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</row>
    <row r="194" spans="1:52">
      <c r="A194" s="30"/>
      <c r="B194" s="30"/>
      <c r="C194" s="30"/>
      <c r="D194" s="30"/>
      <c r="E194" s="30"/>
      <c r="F194" s="30"/>
      <c r="G194" s="30"/>
      <c r="H194" s="30"/>
      <c r="I194" s="30"/>
      <c r="J194" s="4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</row>
    <row r="195" spans="1:52">
      <c r="A195" s="30"/>
      <c r="B195" s="30"/>
      <c r="C195" s="30"/>
      <c r="D195" s="30"/>
      <c r="E195" s="30"/>
      <c r="F195" s="30"/>
      <c r="G195" s="30"/>
      <c r="H195" s="30"/>
      <c r="I195" s="30"/>
      <c r="J195" s="4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</row>
    <row r="196" spans="1:52">
      <c r="A196" s="30"/>
      <c r="B196" s="30"/>
      <c r="C196" s="30"/>
      <c r="D196" s="30"/>
      <c r="E196" s="30"/>
      <c r="F196" s="30"/>
      <c r="G196" s="30"/>
      <c r="H196" s="30"/>
      <c r="I196" s="30"/>
      <c r="J196" s="4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</row>
    <row r="197" spans="1:52">
      <c r="A197" s="30"/>
      <c r="B197" s="30"/>
      <c r="C197" s="30"/>
      <c r="D197" s="30"/>
      <c r="E197" s="30"/>
      <c r="F197" s="30"/>
      <c r="G197" s="30"/>
      <c r="H197" s="30"/>
      <c r="I197" s="30"/>
      <c r="J197" s="4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</row>
    <row r="198" spans="1:52">
      <c r="A198" s="30"/>
      <c r="B198" s="30"/>
      <c r="C198" s="30"/>
      <c r="D198" s="30"/>
      <c r="E198" s="30"/>
      <c r="F198" s="30"/>
      <c r="G198" s="30"/>
      <c r="H198" s="30"/>
      <c r="I198" s="30"/>
      <c r="J198" s="4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</row>
    <row r="199" spans="1:52">
      <c r="A199" s="30"/>
      <c r="B199" s="30"/>
      <c r="C199" s="30"/>
      <c r="D199" s="30"/>
      <c r="E199" s="30"/>
      <c r="F199" s="30"/>
      <c r="G199" s="30"/>
      <c r="H199" s="30"/>
      <c r="I199" s="30"/>
      <c r="J199" s="4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</row>
    <row r="200" spans="1:52">
      <c r="A200" s="30"/>
      <c r="B200" s="30"/>
      <c r="C200" s="30"/>
      <c r="D200" s="30"/>
      <c r="E200" s="30"/>
      <c r="F200" s="30"/>
      <c r="G200" s="30"/>
      <c r="H200" s="30"/>
      <c r="I200" s="30"/>
      <c r="J200" s="4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</row>
    <row r="201" spans="1:52">
      <c r="A201" s="30"/>
      <c r="B201" s="30"/>
      <c r="C201" s="30"/>
      <c r="D201" s="30"/>
      <c r="E201" s="30"/>
      <c r="F201" s="30"/>
      <c r="G201" s="30"/>
      <c r="H201" s="30"/>
      <c r="I201" s="30"/>
      <c r="J201" s="4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</row>
    <row r="202" spans="1:52">
      <c r="A202" s="30"/>
      <c r="B202" s="30"/>
      <c r="C202" s="30"/>
      <c r="D202" s="30"/>
      <c r="E202" s="30"/>
      <c r="F202" s="30"/>
      <c r="G202" s="30"/>
      <c r="H202" s="30"/>
      <c r="I202" s="30"/>
      <c r="J202" s="4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</row>
    <row r="203" spans="1:52">
      <c r="A203" s="30"/>
      <c r="B203" s="30"/>
      <c r="C203" s="30"/>
      <c r="D203" s="30"/>
      <c r="E203" s="30"/>
      <c r="F203" s="30"/>
      <c r="G203" s="30"/>
      <c r="H203" s="30"/>
      <c r="I203" s="30"/>
      <c r="J203" s="4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</row>
    <row r="204" spans="1:52">
      <c r="A204" s="30"/>
      <c r="B204" s="30"/>
      <c r="C204" s="30"/>
      <c r="D204" s="30"/>
      <c r="E204" s="30"/>
      <c r="F204" s="30"/>
      <c r="G204" s="30"/>
      <c r="H204" s="30"/>
      <c r="I204" s="30"/>
      <c r="J204" s="4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</row>
    <row r="205" spans="1:52">
      <c r="A205" s="30"/>
      <c r="B205" s="30"/>
      <c r="C205" s="30"/>
      <c r="D205" s="30"/>
      <c r="E205" s="30"/>
      <c r="F205" s="30"/>
      <c r="G205" s="30"/>
      <c r="H205" s="30"/>
      <c r="I205" s="30"/>
      <c r="J205" s="4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</row>
    <row r="206" spans="1:52">
      <c r="A206" s="30"/>
      <c r="B206" s="30"/>
      <c r="C206" s="30"/>
      <c r="D206" s="30"/>
      <c r="E206" s="30"/>
      <c r="F206" s="30"/>
      <c r="G206" s="30"/>
      <c r="H206" s="30"/>
      <c r="I206" s="30"/>
      <c r="J206" s="4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</row>
    <row r="207" spans="1:52">
      <c r="A207" s="30"/>
      <c r="B207" s="30"/>
      <c r="C207" s="30"/>
      <c r="D207" s="30"/>
      <c r="E207" s="30"/>
      <c r="F207" s="30"/>
      <c r="G207" s="30"/>
      <c r="H207" s="30"/>
      <c r="I207" s="30"/>
      <c r="J207" s="4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</row>
    <row r="208" spans="1:52">
      <c r="A208" s="30"/>
      <c r="B208" s="30"/>
      <c r="C208" s="30"/>
      <c r="D208" s="30"/>
      <c r="E208" s="30"/>
      <c r="F208" s="30"/>
      <c r="G208" s="30"/>
      <c r="H208" s="30"/>
      <c r="I208" s="30"/>
      <c r="J208" s="4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</row>
    <row r="209" spans="1:52">
      <c r="A209" s="30"/>
      <c r="B209" s="30"/>
      <c r="C209" s="30"/>
      <c r="D209" s="30"/>
      <c r="E209" s="30"/>
      <c r="F209" s="30"/>
      <c r="G209" s="30"/>
      <c r="H209" s="30"/>
      <c r="I209" s="30"/>
      <c r="J209" s="4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</row>
    <row r="210" spans="1:52">
      <c r="A210" s="30"/>
      <c r="B210" s="30"/>
      <c r="C210" s="30"/>
      <c r="D210" s="30"/>
      <c r="E210" s="30"/>
      <c r="F210" s="30"/>
      <c r="G210" s="30"/>
      <c r="H210" s="30"/>
      <c r="I210" s="30"/>
      <c r="J210" s="4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</row>
    <row r="211" spans="1:52">
      <c r="A211" s="30"/>
      <c r="B211" s="30"/>
      <c r="C211" s="30"/>
      <c r="D211" s="30"/>
      <c r="E211" s="30"/>
      <c r="F211" s="30"/>
      <c r="G211" s="30"/>
      <c r="H211" s="30"/>
      <c r="I211" s="30"/>
      <c r="J211" s="4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</row>
    <row r="212" spans="1:52">
      <c r="A212" s="30"/>
      <c r="B212" s="30"/>
      <c r="C212" s="30"/>
      <c r="D212" s="30"/>
      <c r="E212" s="30"/>
      <c r="F212" s="30"/>
      <c r="G212" s="30"/>
      <c r="H212" s="30"/>
      <c r="I212" s="30"/>
      <c r="J212" s="4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</row>
    <row r="213" spans="1:52">
      <c r="A213" s="30"/>
      <c r="B213" s="30"/>
      <c r="C213" s="30"/>
      <c r="D213" s="30"/>
      <c r="E213" s="30"/>
      <c r="F213" s="30"/>
      <c r="G213" s="30"/>
      <c r="H213" s="30"/>
      <c r="I213" s="30"/>
      <c r="J213" s="4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</row>
    <row r="214" spans="1:52">
      <c r="A214" s="30"/>
      <c r="B214" s="30"/>
      <c r="C214" s="30"/>
      <c r="D214" s="30"/>
      <c r="E214" s="30"/>
      <c r="F214" s="30"/>
      <c r="G214" s="30"/>
      <c r="H214" s="30"/>
      <c r="I214" s="30"/>
      <c r="J214" s="4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</row>
    <row r="215" spans="1:52">
      <c r="A215" s="30"/>
      <c r="B215" s="30"/>
      <c r="C215" s="30"/>
      <c r="D215" s="30"/>
      <c r="E215" s="30"/>
      <c r="F215" s="30"/>
      <c r="G215" s="30"/>
      <c r="H215" s="30"/>
      <c r="I215" s="30"/>
      <c r="J215" s="4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</row>
    <row r="216" spans="1:52">
      <c r="A216" s="30"/>
      <c r="B216" s="30"/>
      <c r="C216" s="30"/>
      <c r="D216" s="30"/>
      <c r="E216" s="30"/>
      <c r="F216" s="30"/>
      <c r="G216" s="30"/>
      <c r="H216" s="30"/>
      <c r="I216" s="30"/>
      <c r="J216" s="4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</row>
    <row r="217" spans="1:52">
      <c r="A217" s="30"/>
      <c r="B217" s="30"/>
      <c r="C217" s="30"/>
      <c r="D217" s="30"/>
      <c r="E217" s="30"/>
      <c r="F217" s="30"/>
      <c r="G217" s="30"/>
      <c r="H217" s="30"/>
      <c r="I217" s="30"/>
      <c r="J217" s="4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</row>
    <row r="218" spans="1:52">
      <c r="A218" s="30"/>
      <c r="B218" s="30"/>
      <c r="C218" s="30"/>
      <c r="D218" s="30"/>
      <c r="E218" s="30"/>
      <c r="F218" s="30"/>
      <c r="G218" s="30"/>
      <c r="H218" s="30"/>
      <c r="I218" s="30"/>
      <c r="J218" s="4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</row>
    <row r="219" spans="1:52">
      <c r="A219" s="30"/>
      <c r="B219" s="30"/>
      <c r="C219" s="30"/>
      <c r="D219" s="30"/>
      <c r="E219" s="30"/>
      <c r="F219" s="30"/>
      <c r="G219" s="30"/>
      <c r="H219" s="30"/>
      <c r="I219" s="30"/>
      <c r="J219" s="4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</row>
    <row r="220" spans="1:52">
      <c r="A220" s="30"/>
      <c r="B220" s="30"/>
      <c r="C220" s="30"/>
      <c r="D220" s="30"/>
      <c r="E220" s="30"/>
      <c r="F220" s="30"/>
      <c r="G220" s="30"/>
      <c r="H220" s="30"/>
      <c r="I220" s="30"/>
      <c r="J220" s="4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</row>
    <row r="221" spans="1:52">
      <c r="A221" s="30"/>
      <c r="B221" s="30"/>
      <c r="C221" s="30"/>
      <c r="D221" s="30"/>
      <c r="E221" s="30"/>
      <c r="F221" s="30"/>
      <c r="G221" s="30"/>
      <c r="H221" s="30"/>
      <c r="I221" s="30"/>
      <c r="J221" s="4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</row>
    <row r="222" spans="1:52">
      <c r="A222" s="30"/>
      <c r="B222" s="30"/>
      <c r="C222" s="30"/>
      <c r="D222" s="30"/>
      <c r="E222" s="30"/>
      <c r="F222" s="30"/>
      <c r="G222" s="30"/>
      <c r="H222" s="30"/>
      <c r="I222" s="30"/>
      <c r="J222" s="4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</row>
    <row r="223" spans="1:52">
      <c r="A223" s="30"/>
      <c r="B223" s="30"/>
      <c r="C223" s="30"/>
      <c r="D223" s="30"/>
      <c r="E223" s="30"/>
      <c r="F223" s="30"/>
      <c r="G223" s="30"/>
      <c r="H223" s="30"/>
      <c r="I223" s="30"/>
      <c r="J223" s="4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</row>
    <row r="224" spans="1:52">
      <c r="A224" s="30"/>
      <c r="B224" s="30"/>
      <c r="C224" s="30"/>
      <c r="D224" s="30"/>
      <c r="E224" s="30"/>
      <c r="F224" s="30"/>
      <c r="G224" s="30"/>
      <c r="H224" s="30"/>
      <c r="I224" s="30"/>
      <c r="J224" s="4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</row>
    <row r="225" spans="1:52">
      <c r="A225" s="30"/>
      <c r="B225" s="30"/>
      <c r="C225" s="30"/>
      <c r="D225" s="30"/>
      <c r="E225" s="30"/>
      <c r="F225" s="30"/>
      <c r="G225" s="30"/>
      <c r="H225" s="30"/>
      <c r="I225" s="30"/>
      <c r="J225" s="4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</row>
    <row r="226" spans="1:52">
      <c r="A226" s="30"/>
      <c r="B226" s="30"/>
      <c r="C226" s="30"/>
      <c r="D226" s="30"/>
      <c r="E226" s="30"/>
      <c r="F226" s="30"/>
      <c r="G226" s="30"/>
      <c r="H226" s="30"/>
      <c r="I226" s="30"/>
      <c r="J226" s="4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</row>
    <row r="227" spans="1:52">
      <c r="A227" s="30"/>
      <c r="B227" s="30"/>
      <c r="C227" s="30"/>
      <c r="D227" s="30"/>
      <c r="E227" s="30"/>
      <c r="F227" s="30"/>
      <c r="G227" s="30"/>
      <c r="H227" s="30"/>
      <c r="I227" s="30"/>
      <c r="J227" s="4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</row>
    <row r="228" spans="1:52">
      <c r="A228" s="30"/>
      <c r="B228" s="30"/>
      <c r="C228" s="30"/>
      <c r="D228" s="30"/>
      <c r="E228" s="30"/>
      <c r="F228" s="30"/>
      <c r="G228" s="30"/>
      <c r="H228" s="30"/>
      <c r="I228" s="30"/>
      <c r="J228" s="4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</row>
    <row r="229" spans="1:52">
      <c r="A229" s="30"/>
      <c r="B229" s="30"/>
      <c r="C229" s="30"/>
      <c r="D229" s="30"/>
      <c r="E229" s="30"/>
      <c r="F229" s="30"/>
      <c r="G229" s="30"/>
      <c r="H229" s="30"/>
      <c r="I229" s="30"/>
      <c r="J229" s="4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</row>
    <row r="230" spans="1:52">
      <c r="A230" s="30"/>
      <c r="B230" s="30"/>
      <c r="C230" s="30"/>
      <c r="D230" s="30"/>
      <c r="E230" s="30"/>
      <c r="F230" s="30"/>
      <c r="G230" s="30"/>
      <c r="H230" s="30"/>
      <c r="I230" s="30"/>
      <c r="J230" s="4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</row>
    <row r="231" spans="1:52">
      <c r="A231" s="30"/>
      <c r="B231" s="30"/>
      <c r="C231" s="30"/>
      <c r="D231" s="30"/>
      <c r="E231" s="30"/>
      <c r="F231" s="30"/>
      <c r="G231" s="30"/>
      <c r="H231" s="30"/>
      <c r="I231" s="30"/>
      <c r="J231" s="4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</row>
    <row r="232" spans="1:52">
      <c r="A232" s="30"/>
      <c r="B232" s="30"/>
      <c r="C232" s="30"/>
      <c r="D232" s="30"/>
      <c r="E232" s="30"/>
      <c r="F232" s="30"/>
      <c r="G232" s="30"/>
      <c r="H232" s="30"/>
      <c r="I232" s="30"/>
      <c r="J232" s="4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</row>
    <row r="233" spans="1:52">
      <c r="A233" s="30"/>
      <c r="B233" s="30"/>
      <c r="C233" s="30"/>
      <c r="D233" s="30"/>
      <c r="E233" s="30"/>
      <c r="F233" s="30"/>
      <c r="G233" s="30"/>
      <c r="H233" s="30"/>
      <c r="I233" s="30"/>
      <c r="J233" s="4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</row>
    <row r="234" spans="1:52">
      <c r="A234" s="30"/>
      <c r="B234" s="30"/>
      <c r="C234" s="30"/>
      <c r="D234" s="30"/>
      <c r="E234" s="30"/>
      <c r="F234" s="30"/>
      <c r="G234" s="30"/>
      <c r="H234" s="30"/>
      <c r="I234" s="30"/>
      <c r="J234" s="4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</row>
    <row r="235" spans="1:52">
      <c r="A235" s="30"/>
      <c r="B235" s="30"/>
      <c r="C235" s="30"/>
      <c r="D235" s="30"/>
      <c r="E235" s="30"/>
      <c r="F235" s="30"/>
      <c r="G235" s="30"/>
      <c r="H235" s="30"/>
      <c r="I235" s="30"/>
      <c r="J235" s="4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</row>
    <row r="236" spans="1:52">
      <c r="A236" s="30"/>
      <c r="B236" s="30"/>
      <c r="C236" s="30"/>
      <c r="D236" s="30"/>
      <c r="E236" s="30"/>
      <c r="F236" s="30"/>
      <c r="G236" s="30"/>
      <c r="H236" s="30"/>
      <c r="I236" s="30"/>
      <c r="J236" s="4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</row>
    <row r="237" spans="1:52">
      <c r="A237" s="30"/>
      <c r="B237" s="30"/>
      <c r="C237" s="30"/>
      <c r="D237" s="30"/>
      <c r="E237" s="30"/>
      <c r="F237" s="30"/>
      <c r="G237" s="30"/>
      <c r="H237" s="30"/>
      <c r="I237" s="30"/>
      <c r="J237" s="4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</row>
    <row r="238" spans="1:52">
      <c r="A238" s="30"/>
      <c r="B238" s="30"/>
      <c r="C238" s="30"/>
      <c r="D238" s="30"/>
      <c r="E238" s="30"/>
      <c r="F238" s="30"/>
      <c r="G238" s="30"/>
      <c r="H238" s="30"/>
      <c r="I238" s="30"/>
      <c r="J238" s="4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</row>
    <row r="239" spans="1:52">
      <c r="A239" s="30"/>
      <c r="B239" s="30"/>
      <c r="C239" s="30"/>
      <c r="D239" s="30"/>
      <c r="E239" s="30"/>
      <c r="F239" s="30"/>
      <c r="G239" s="30"/>
      <c r="H239" s="30"/>
      <c r="I239" s="30"/>
      <c r="J239" s="4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</row>
    <row r="240" spans="1:52">
      <c r="A240" s="30"/>
      <c r="B240" s="30"/>
      <c r="C240" s="30"/>
      <c r="D240" s="30"/>
      <c r="E240" s="30"/>
      <c r="F240" s="30"/>
      <c r="G240" s="30"/>
      <c r="H240" s="30"/>
      <c r="I240" s="30"/>
      <c r="J240" s="4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</row>
    <row r="241" spans="1:52">
      <c r="A241" s="30"/>
      <c r="B241" s="30"/>
      <c r="C241" s="30"/>
      <c r="D241" s="30"/>
      <c r="E241" s="30"/>
      <c r="F241" s="30"/>
      <c r="G241" s="30"/>
      <c r="H241" s="30"/>
      <c r="I241" s="30"/>
      <c r="J241" s="4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</row>
    <row r="242" spans="1:52">
      <c r="A242" s="30"/>
      <c r="B242" s="30"/>
      <c r="C242" s="30"/>
      <c r="D242" s="30"/>
      <c r="E242" s="30"/>
      <c r="F242" s="30"/>
      <c r="G242" s="30"/>
      <c r="H242" s="30"/>
      <c r="I242" s="30"/>
      <c r="J242" s="4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</row>
    <row r="243" spans="1:52">
      <c r="A243" s="30"/>
      <c r="B243" s="30"/>
      <c r="C243" s="30"/>
      <c r="D243" s="30"/>
      <c r="E243" s="30"/>
      <c r="F243" s="30"/>
      <c r="G243" s="30"/>
      <c r="H243" s="30"/>
      <c r="I243" s="30"/>
      <c r="J243" s="4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</row>
    <row r="244" spans="1:52">
      <c r="A244" s="30"/>
      <c r="B244" s="30"/>
      <c r="C244" s="30"/>
      <c r="D244" s="30"/>
      <c r="E244" s="30"/>
      <c r="F244" s="30"/>
      <c r="G244" s="30"/>
      <c r="H244" s="30"/>
      <c r="I244" s="30"/>
      <c r="J244" s="4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</row>
    <row r="245" spans="1:52">
      <c r="A245" s="30"/>
      <c r="B245" s="30"/>
      <c r="C245" s="30"/>
      <c r="D245" s="30"/>
      <c r="E245" s="30"/>
      <c r="F245" s="30"/>
      <c r="G245" s="30"/>
      <c r="H245" s="30"/>
      <c r="I245" s="30"/>
      <c r="J245" s="4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</row>
    <row r="246" spans="1:52">
      <c r="A246" s="30"/>
      <c r="B246" s="30"/>
      <c r="C246" s="30"/>
      <c r="D246" s="30"/>
      <c r="E246" s="30"/>
      <c r="F246" s="30"/>
      <c r="G246" s="30"/>
      <c r="H246" s="30"/>
      <c r="I246" s="30"/>
      <c r="J246" s="4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</row>
    <row r="247" spans="1:52">
      <c r="A247" s="30"/>
      <c r="B247" s="30"/>
      <c r="C247" s="30"/>
      <c r="D247" s="30"/>
      <c r="E247" s="30"/>
      <c r="F247" s="30"/>
      <c r="G247" s="30"/>
      <c r="H247" s="30"/>
      <c r="I247" s="30"/>
      <c r="J247" s="4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</row>
    <row r="248" spans="1:52">
      <c r="A248" s="30"/>
      <c r="B248" s="30"/>
      <c r="C248" s="30"/>
      <c r="D248" s="30"/>
      <c r="E248" s="30"/>
      <c r="F248" s="30"/>
      <c r="G248" s="30"/>
      <c r="H248" s="30"/>
      <c r="I248" s="30"/>
      <c r="J248" s="4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</row>
    <row r="249" spans="1:52">
      <c r="A249" s="30"/>
      <c r="B249" s="30"/>
      <c r="C249" s="30"/>
      <c r="D249" s="30"/>
      <c r="E249" s="30"/>
      <c r="F249" s="30"/>
      <c r="G249" s="30"/>
      <c r="H249" s="30"/>
      <c r="I249" s="30"/>
      <c r="J249" s="4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</row>
  </sheetData>
  <pageMargins left="0.23622047244094491" right="0.23622047244094491" top="0.74803149606299213" bottom="0.74803149606299213" header="0.31496062992125984" footer="0.31496062992125984"/>
  <pageSetup paperSize="9" scale="85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 RECEITA X DESPESA </vt:lpstr>
      <vt:lpstr>ACERTO ENTRE CONTAS  (2)</vt:lpstr>
      <vt:lpstr>Planilha1</vt:lpstr>
      <vt:lpstr>ROYOLTS </vt:lpstr>
      <vt:lpstr>ROYOLTS COM A CORREÇÃO DO COFFE</vt:lpstr>
      <vt:lpstr>BUFFET DESPESA X RECEITA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Mirax</dc:creator>
  <cp:lastModifiedBy>Financeiro</cp:lastModifiedBy>
  <cp:lastPrinted>2025-07-16T12:28:10Z</cp:lastPrinted>
  <dcterms:created xsi:type="dcterms:W3CDTF">2024-08-31T12:09:57Z</dcterms:created>
  <dcterms:modified xsi:type="dcterms:W3CDTF">2025-12-22T21:19:59Z</dcterms:modified>
</cp:coreProperties>
</file>